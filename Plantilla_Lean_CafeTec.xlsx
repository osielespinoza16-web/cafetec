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Equipo 1" sheetId="2" state="visible" r:id="rId4"/>
    <sheet name="Equipo 2" sheetId="3" state="visible" r:id="rId5"/>
    <sheet name="Equipo 3" sheetId="4" state="visible" r:id="rId6"/>
    <sheet name="Equipo 4" sheetId="5" state="visible" r:id="rId7"/>
    <sheet name="Equipo 5" sheetId="6" state="visible" r:id="rId8"/>
    <sheet name="Equipo 6" sheetId="7" state="visible" r:id="rId9"/>
    <sheet name="Tablero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0" authorId="0">
      <text>
        <r>
          <rPr>
            <sz val="10"/>
            <rFont val="Arial"/>
            <family val="2"/>
          </rPr>
          <t xml:space="preserve">Pega aquí (Ctrl+V) el contenido de registro/metricas_usuarios.txt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0" authorId="0">
      <text>
        <r>
          <rPr>
            <sz val="10"/>
            <rFont val="Arial"/>
            <family val="2"/>
          </rPr>
          <t xml:space="preserve">Pega aquí (Ctrl+V) el contenido de registro/metricas_catalogo.txt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0" authorId="0">
      <text>
        <r>
          <rPr>
            <sz val="10"/>
            <rFont val="Arial"/>
            <family val="2"/>
          </rPr>
          <t xml:space="preserve">Pega aquí (Ctrl+V) el contenido de registro/metricas_pedidos.txt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0" authorId="0">
      <text>
        <r>
          <rPr>
            <sz val="10"/>
            <rFont val="Arial"/>
            <family val="2"/>
          </rPr>
          <t xml:space="preserve">Pega aquí (Ctrl+V) el contenido de registro/metricas_caja.txt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0" authorId="0">
      <text>
        <r>
          <rPr>
            <sz val="10"/>
            <rFont val="Arial"/>
            <family val="2"/>
          </rPr>
          <t xml:space="preserve">Pega aquí (Ctrl+V) el contenido de registro/metricas_inventario.txt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0" authorId="0">
      <text>
        <r>
          <rPr>
            <sz val="10"/>
            <rFont val="Arial"/>
            <family val="2"/>
          </rPr>
          <t xml:space="preserve">Pega aquí (Ctrl+V) el contenido de registro/metricas_reportes.txt</t>
        </r>
      </text>
    </comment>
  </commentList>
</comments>
</file>

<file path=xl/sharedStrings.xml><?xml version="1.0" encoding="utf-8"?>
<sst xmlns="http://schemas.openxmlformats.org/spreadsheetml/2006/main" count="319" uniqueCount="131">
  <si>
    <t xml:space="preserve">Plantilla de métricas Lean · CafeTec</t>
  </si>
  <si>
    <t xml:space="preserve">Un solo archivo por grupo, compartido. Cada equipo llena SOLO su hoja; la hoja Tablero se calcula sola.</t>
  </si>
  <si>
    <t xml:space="preserve">Leyenda</t>
  </si>
  <si>
    <t xml:space="preserve">Celdas amarillas</t>
  </si>
  <si>
    <t xml:space="preserve">Las llenan ustedes (texto azul).</t>
  </si>
  <si>
    <t xml:space="preserve">Celdas café claro</t>
  </si>
  <si>
    <t xml:space="preserve">Se calculan solas. No las editen.</t>
  </si>
  <si>
    <t xml:space="preserve">Tabla A · Actividades</t>
  </si>
  <si>
    <t xml:space="preserve">Al final de la sesión corran: python probar.py --metricas &lt;modulo&gt;. Abran registro/metricas_&lt;modulo&gt;.txt, copien todo y péguenlo en la celda A10 (columna Act.). La eficiencia se calcula sola.</t>
  </si>
  <si>
    <t xml:space="preserve">Tabla B · Desperdicios</t>
  </si>
  <si>
    <t xml:space="preserve">Los observadores (el equipo que no programa ese día) y el encargado de flujo anotan cada desperdicio: tipo, qué pasó y minutos perdidos.</t>
  </si>
  <si>
    <t xml:space="preserve">Tabla C · Revisión del PR</t>
  </si>
  <si>
    <t xml:space="preserve">Hora en que se abrió el PR, hora en que se aprobó y cuántos cambios pidió el equipo revisor (cada cambio = un defecto en revisión).</t>
  </si>
  <si>
    <t xml:space="preserve">Tabla D · Retrospectiva</t>
  </si>
  <si>
    <t xml:space="preserve">Respondan con datos de las tablas A, B y C. La mejora propuesta del día 1 la aplican los equipos del día 2.</t>
  </si>
  <si>
    <t xml:space="preserve">Tablero</t>
  </si>
  <si>
    <t xml:space="preserve">Compara a los 6 equipos y el día 1 contra el día 2. Úsenlo para la conclusión final del grupo.</t>
  </si>
  <si>
    <t xml:space="preserve">Ejemplo de cómo se ve la tabla A ya pegada (datos ficticios)</t>
  </si>
  <si>
    <t xml:space="preserve">Act.</t>
  </si>
  <si>
    <t xml:space="preserve">Función</t>
  </si>
  <si>
    <t xml:space="preserve">Inicio</t>
  </si>
  <si>
    <t xml:space="preserve">Fin</t>
  </si>
  <si>
    <t xml:space="preserve">Lead (min)</t>
  </si>
  <si>
    <t xml:space="preserve">Espera (min)</t>
  </si>
  <si>
    <t xml:space="preserve">Corridas</t>
  </si>
  <si>
    <t xml:space="preserve">Defectos</t>
  </si>
  <si>
    <t xml:space="preserve">Min corrigiendo</t>
  </si>
  <si>
    <t xml:space="preserve">¿Bien a la 1a?</t>
  </si>
  <si>
    <t xml:space="preserve">Eficiencia</t>
  </si>
  <si>
    <t xml:space="preserve">crear_pedido</t>
  </si>
  <si>
    <t xml:space="preserve">10:05</t>
  </si>
  <si>
    <t xml:space="preserve">10:17</t>
  </si>
  <si>
    <t xml:space="preserve">No</t>
  </si>
  <si>
    <t xml:space="preserve">listar_pedidos</t>
  </si>
  <si>
    <t xml:space="preserve">10:18</t>
  </si>
  <si>
    <t xml:space="preserve">10:24</t>
  </si>
  <si>
    <t xml:space="preserve">Sí</t>
  </si>
  <si>
    <t xml:space="preserve">Los 7 desperdicios del software (Poppendieck)</t>
  </si>
  <si>
    <t xml:space="preserve">Espera</t>
  </si>
  <si>
    <t xml:space="preserve">Tiempo detenidos esperando a alguien o algo.</t>
  </si>
  <si>
    <t xml:space="preserve">Retrabajo / defecto</t>
  </si>
  <si>
    <t xml:space="preserve">Corregir lo que ya estaba "terminado" (pruebas que fallan, cambios pedidos en revisión).</t>
  </si>
  <si>
    <t xml:space="preserve">Trabajo parcialmente hecho</t>
  </si>
  <si>
    <t xml:space="preserve">Trabajo empezado y no terminado (código sin probar, PR sin abrir).</t>
  </si>
  <si>
    <t xml:space="preserve">Cambio de tarea</t>
  </si>
  <si>
    <t xml:space="preserve">Saltar entre actividades o tareas sin terminar una.</t>
  </si>
  <si>
    <t xml:space="preserve">Funcionalidad extra</t>
  </si>
  <si>
    <t xml:space="preserve">Programar algo que la especificación no pide.</t>
  </si>
  <si>
    <t xml:space="preserve">Transferencia / traspaso</t>
  </si>
  <si>
    <t xml:space="preserve">Información que se pierde al pasar trabajo entre personas o equipos.</t>
  </si>
  <si>
    <t xml:space="preserve">Demoras de proceso</t>
  </si>
  <si>
    <t xml:space="preserve">Pasos, permisos o trámites que no agregan valor.</t>
  </si>
  <si>
    <t xml:space="preserve">Equipo 1 · Usuarios · Día 1</t>
  </si>
  <si>
    <t xml:space="preserve">Archivo: modulos/usuarios.py   ·   Revisa su PR: Equipo 6</t>
  </si>
  <si>
    <t xml:space="preserve">Integrantes (nombres)</t>
  </si>
  <si>
    <t xml:space="preserve">A. Actividades (pegar aquí la salida de python probar.py --metricas usuarios)</t>
  </si>
  <si>
    <t xml:space="preserve">Eficiencia de flujo</t>
  </si>
  <si>
    <t xml:space="preserve">listar_usuarios</t>
  </si>
  <si>
    <t xml:space="preserve">registrar_usuario</t>
  </si>
  <si>
    <t xml:space="preserve">cambiar_estado_usuario</t>
  </si>
  <si>
    <t xml:space="preserve">Total</t>
  </si>
  <si>
    <t xml:space="preserve">B. Desperdicios observados</t>
  </si>
  <si>
    <t xml:space="preserve">#</t>
  </si>
  <si>
    <t xml:space="preserve">Tipo de desperdicio</t>
  </si>
  <si>
    <t xml:space="preserve">Qué pasó</t>
  </si>
  <si>
    <t xml:space="preserve">Min perdidos</t>
  </si>
  <si>
    <t xml:space="preserve">Cómo evitarlo</t>
  </si>
  <si>
    <t xml:space="preserve">C. Revisión del Pull Request</t>
  </si>
  <si>
    <t xml:space="preserve">PR abierto (hora)</t>
  </si>
  <si>
    <t xml:space="preserve">PR aprobado (hora)</t>
  </si>
  <si>
    <t xml:space="preserve">Espera de revisión (min)</t>
  </si>
  <si>
    <t xml:space="preserve">Cambios pedidos</t>
  </si>
  <si>
    <t xml:space="preserve">Comentarios del equipo revisor</t>
  </si>
  <si>
    <t xml:space="preserve">Formato de hora: 10:42</t>
  </si>
  <si>
    <t xml:space="preserve">D. Retrospectiva (respondan con datos)</t>
  </si>
  <si>
    <t xml:space="preserve">¿Qué funcionó bien?</t>
  </si>
  <si>
    <t xml:space="preserve">¿Cuál fue el mayor desperdicio y cuántos minutos costó?</t>
  </si>
  <si>
    <t xml:space="preserve">¿Qué actividad tuvo más defectos y por qué?</t>
  </si>
  <si>
    <t xml:space="preserve">¿Qué mejora proponen para el siguiente día o equipo?</t>
  </si>
  <si>
    <t xml:space="preserve">¿Terminaron en menos de 1 hora? Si no, ¿dónde se fue el tiempo?</t>
  </si>
  <si>
    <t xml:space="preserve">Equipo 2 · Catálogo · Día 1</t>
  </si>
  <si>
    <t xml:space="preserve">Archivo: modulos/catalogo.py   ·   Revisa su PR: Equipo 5</t>
  </si>
  <si>
    <t xml:space="preserve">A. Actividades (pegar aquí la salida de python probar.py --metricas catalogo)</t>
  </si>
  <si>
    <t xml:space="preserve">listar_menu</t>
  </si>
  <si>
    <t xml:space="preserve">agregar_producto</t>
  </si>
  <si>
    <t xml:space="preserve">cambiar_precio</t>
  </si>
  <si>
    <t xml:space="preserve">Equipo 3 · Pedidos · Día 1</t>
  </si>
  <si>
    <t xml:space="preserve">Archivo: modulos/pedidos.py   ·   Revisa su PR: Equipo 4</t>
  </si>
  <si>
    <t xml:space="preserve">A. Actividades (pegar aquí la salida de python probar.py --metricas pedidos)</t>
  </si>
  <si>
    <t xml:space="preserve">cambiar_estado_pedido</t>
  </si>
  <si>
    <t xml:space="preserve">Equipo 4 · Caja · Día 2</t>
  </si>
  <si>
    <t xml:space="preserve">Archivo: modulos/caja.py   ·   Revisa su PR: Equipo 3</t>
  </si>
  <si>
    <t xml:space="preserve">A. Actividades (pegar aquí la salida de python probar.py --metricas caja)</t>
  </si>
  <si>
    <t xml:space="preserve">calcular_total</t>
  </si>
  <si>
    <t xml:space="preserve">cobrar_pedido</t>
  </si>
  <si>
    <t xml:space="preserve">corte_de_caja</t>
  </si>
  <si>
    <t xml:space="preserve">Equipo 5 · Inventario · Día 2</t>
  </si>
  <si>
    <t xml:space="preserve">Archivo: modulos/inventario.py   ·   Revisa su PR: Equipo 2</t>
  </si>
  <si>
    <t xml:space="preserve">A. Actividades (pegar aquí la salida de python probar.py --metricas inventario)</t>
  </si>
  <si>
    <t xml:space="preserve">registrar_entrada</t>
  </si>
  <si>
    <t xml:space="preserve">descontar_pedido</t>
  </si>
  <si>
    <t xml:space="preserve">productos_stock_bajo</t>
  </si>
  <si>
    <t xml:space="preserve">Equipo 6 · Reportes · Día 2</t>
  </si>
  <si>
    <t xml:space="preserve">Archivo: modulos/reportes.py   ·   Revisa su PR: Equipo 1</t>
  </si>
  <si>
    <t xml:space="preserve">A. Actividades (pegar aquí la salida de python probar.py --metricas reportes)</t>
  </si>
  <si>
    <t xml:space="preserve">ventas_del_dia</t>
  </si>
  <si>
    <t xml:space="preserve">productos_mas_vendidos</t>
  </si>
  <si>
    <t xml:space="preserve">resumen_por_estado</t>
  </si>
  <si>
    <t xml:space="preserve">Tablero del grupo · se calcula solo</t>
  </si>
  <si>
    <t xml:space="preserve">Lead time: desde que se jala la tarjeta hasta que pasan sus pruebas. Eficiencia: % del lead time sin espera.</t>
  </si>
  <si>
    <t xml:space="preserve">Equipo</t>
  </si>
  <si>
    <t xml:space="preserve">Módulo</t>
  </si>
  <si>
    <t xml:space="preserve">Día</t>
  </si>
  <si>
    <t xml:space="preserve">Actividades terminadas</t>
  </si>
  <si>
    <t xml:space="preserve">Lead total (min)</t>
  </si>
  <si>
    <t xml:space="preserve">Lead promedio (min)</t>
  </si>
  <si>
    <t xml:space="preserve">Defectos en pruebas</t>
  </si>
  <si>
    <t xml:space="preserve">Defectos en revisión</t>
  </si>
  <si>
    <t xml:space="preserve">Bien a la 1a</t>
  </si>
  <si>
    <t xml:space="preserve">Min de desperdicio</t>
  </si>
  <si>
    <t xml:space="preserve">Espera de revisión PR (min)</t>
  </si>
  <si>
    <t xml:space="preserve">Usuarios</t>
  </si>
  <si>
    <t xml:space="preserve">Catálogo</t>
  </si>
  <si>
    <t xml:space="preserve">Pedidos</t>
  </si>
  <si>
    <t xml:space="preserve">Caja</t>
  </si>
  <si>
    <t xml:space="preserve">Inventario</t>
  </si>
  <si>
    <t xml:space="preserve">Reportes</t>
  </si>
  <si>
    <t xml:space="preserve">Día 1 contra día 2</t>
  </si>
  <si>
    <t xml:space="preserve">Lead promedio por actividad</t>
  </si>
  <si>
    <t xml:space="preserve">Defectos por actividad</t>
  </si>
  <si>
    <t xml:space="preserve">Conclusión del grupo: ¿la mejora aplicada el día 2 redujo el lead time, la espera o los defectos?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</si>
</sst>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hh:mm"/>
    <numFmt numFmtId="167" formatCode="0.0"/>
    <numFmt numFmtId="168" formatCode="0"/>
    <numFmt numFmtId="169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5B3A29"/>
      <name val="Arial"/>
      <family val="0"/>
      <charset val="1"/>
    </font>
    <font>
      <sz val="10"/>
      <color rgb="FF75665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5B3A2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5"/>
      <color rgb="FF5B3A29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75665C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7D6"/>
        <bgColor rgb="FFFFFFFF"/>
      </patternFill>
    </fill>
    <fill>
      <patternFill patternType="solid">
        <fgColor rgb="FFF1E6DC"/>
        <bgColor rgb="FFE6DBD0"/>
      </patternFill>
    </fill>
    <fill>
      <patternFill patternType="solid">
        <fgColor rgb="FF5B3A29"/>
        <bgColor rgb="FF3333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E6DBD0"/>
      </left>
      <right style="thin">
        <color rgb="FFE6DBD0"/>
      </right>
      <top style="thin">
        <color rgb="FFE6DBD0"/>
      </top>
      <bottom style="thin">
        <color rgb="FFE6DBD0"/>
      </bottom>
      <diagonal/>
    </border>
    <border diagonalUp="false" diagonalDown="false">
      <left style="thin">
        <color rgb="FFE6DBD0"/>
      </left>
      <right/>
      <top style="thin">
        <color rgb="FFE6DBD0"/>
      </top>
      <bottom style="thin">
        <color rgb="FFE6DBD0"/>
      </bottom>
      <diagonal/>
    </border>
    <border diagonalUp="false" diagonalDown="false">
      <left style="thin">
        <color rgb="FFE6DBD0"/>
      </left>
      <right/>
      <top style="thin">
        <color rgb="FFE6DBD0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066CC"/>
      <rgbColor rgb="FFE6DB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1E6D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75665C"/>
      <rgbColor rgb="FFC9A27E"/>
      <rgbColor rgb="FF003366"/>
      <rgbColor rgb="FF339966"/>
      <rgbColor rgb="FF003300"/>
      <rgbColor rgb="FF333300"/>
      <rgbColor rgb="FF993300"/>
      <rgbColor rgb="FF993366"/>
      <rgbColor rgb="FF333399"/>
      <rgbColor rgb="FF5B3A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27E"/>
    <pageSetUpPr fitToPage="true"/>
  </sheetPr>
  <dimension ref="B2:L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12" min="3" style="0" width="12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4"/>
      <c r="D5" s="4"/>
      <c r="E5" s="4"/>
      <c r="F5" s="4"/>
      <c r="G5" s="4"/>
      <c r="H5" s="4"/>
      <c r="I5" s="4"/>
      <c r="J5" s="4"/>
      <c r="K5" s="4"/>
      <c r="L5" s="4"/>
    </row>
    <row r="6" customFormat="false" ht="15" hidden="false" customHeight="true" outlineLevel="0" collapsed="false">
      <c r="B6" s="5" t="s">
        <v>3</v>
      </c>
      <c r="C6" s="4" t="s">
        <v>4</v>
      </c>
      <c r="D6" s="4"/>
      <c r="E6" s="4"/>
      <c r="F6" s="4"/>
      <c r="G6" s="4"/>
      <c r="H6" s="4"/>
      <c r="I6" s="4"/>
      <c r="J6" s="4"/>
      <c r="K6" s="4"/>
      <c r="L6" s="4"/>
    </row>
    <row r="7" customFormat="false" ht="15" hidden="false" customHeight="true" outlineLevel="0" collapsed="false">
      <c r="B7" s="6" t="s">
        <v>5</v>
      </c>
      <c r="C7" s="4" t="s">
        <v>6</v>
      </c>
      <c r="D7" s="4"/>
      <c r="E7" s="4"/>
      <c r="F7" s="4"/>
      <c r="G7" s="4"/>
      <c r="H7" s="4"/>
      <c r="I7" s="4"/>
      <c r="J7" s="4"/>
      <c r="K7" s="4"/>
      <c r="L7" s="4"/>
    </row>
    <row r="8" customFormat="false" ht="15" hidden="false" customHeight="false" outlineLevel="0" collapsed="false">
      <c r="B8" s="3"/>
      <c r="C8" s="4"/>
      <c r="D8" s="4"/>
      <c r="E8" s="4"/>
      <c r="F8" s="4"/>
      <c r="G8" s="4"/>
      <c r="H8" s="4"/>
      <c r="I8" s="4"/>
      <c r="J8" s="4"/>
      <c r="K8" s="4"/>
      <c r="L8" s="4"/>
    </row>
    <row r="9" customFormat="false" ht="30" hidden="false" customHeight="true" outlineLevel="0" collapsed="false">
      <c r="B9" s="3" t="s">
        <v>7</v>
      </c>
      <c r="C9" s="4" t="s">
        <v>8</v>
      </c>
      <c r="D9" s="4"/>
      <c r="E9" s="4"/>
      <c r="F9" s="4"/>
      <c r="G9" s="4"/>
      <c r="H9" s="4"/>
      <c r="I9" s="4"/>
      <c r="J9" s="4"/>
      <c r="K9" s="4"/>
      <c r="L9" s="4"/>
    </row>
    <row r="10" customFormat="false" ht="30" hidden="false" customHeight="true" outlineLevel="0" collapsed="false">
      <c r="B10" s="3" t="s">
        <v>9</v>
      </c>
      <c r="C10" s="4" t="s">
        <v>10</v>
      </c>
      <c r="D10" s="4"/>
      <c r="E10" s="4"/>
      <c r="F10" s="4"/>
      <c r="G10" s="4"/>
      <c r="H10" s="4"/>
      <c r="I10" s="4"/>
      <c r="J10" s="4"/>
      <c r="K10" s="4"/>
      <c r="L10" s="4"/>
    </row>
    <row r="11" customFormat="false" ht="30" hidden="false" customHeight="true" outlineLevel="0" collapsed="false">
      <c r="B11" s="3" t="s">
        <v>11</v>
      </c>
      <c r="C11" s="4" t="s">
        <v>12</v>
      </c>
      <c r="D11" s="4"/>
      <c r="E11" s="4"/>
      <c r="F11" s="4"/>
      <c r="G11" s="4"/>
      <c r="H11" s="4"/>
      <c r="I11" s="4"/>
      <c r="J11" s="4"/>
      <c r="K11" s="4"/>
      <c r="L11" s="4"/>
    </row>
    <row r="12" customFormat="false" ht="30" hidden="false" customHeight="true" outlineLevel="0" collapsed="false">
      <c r="B12" s="3" t="s">
        <v>13</v>
      </c>
      <c r="C12" s="4" t="s">
        <v>14</v>
      </c>
      <c r="D12" s="4"/>
      <c r="E12" s="4"/>
      <c r="F12" s="4"/>
      <c r="G12" s="4"/>
      <c r="H12" s="4"/>
      <c r="I12" s="4"/>
      <c r="J12" s="4"/>
      <c r="K12" s="4"/>
      <c r="L12" s="4"/>
    </row>
    <row r="13" customFormat="false" ht="30" hidden="false" customHeight="true" outlineLevel="0" collapsed="false">
      <c r="B13" s="3" t="s">
        <v>15</v>
      </c>
      <c r="C13" s="4" t="s">
        <v>16</v>
      </c>
      <c r="D13" s="4"/>
      <c r="E13" s="4"/>
      <c r="F13" s="4"/>
      <c r="G13" s="4"/>
      <c r="H13" s="4"/>
      <c r="I13" s="4"/>
      <c r="J13" s="4"/>
      <c r="K13" s="4"/>
      <c r="L13" s="4"/>
    </row>
    <row r="15" customFormat="false" ht="15" hidden="false" customHeight="false" outlineLevel="0" collapsed="false">
      <c r="B15" s="7" t="s">
        <v>17</v>
      </c>
    </row>
    <row r="16" customFormat="false" ht="23.85" hidden="false" customHeight="false" outlineLevel="0" collapsed="false">
      <c r="B16" s="8" t="s">
        <v>18</v>
      </c>
      <c r="C16" s="8" t="s">
        <v>19</v>
      </c>
      <c r="D16" s="8" t="s">
        <v>20</v>
      </c>
      <c r="E16" s="8" t="s">
        <v>21</v>
      </c>
      <c r="F16" s="8" t="s">
        <v>22</v>
      </c>
      <c r="G16" s="8" t="s">
        <v>23</v>
      </c>
      <c r="H16" s="8" t="s">
        <v>24</v>
      </c>
      <c r="I16" s="8" t="s">
        <v>25</v>
      </c>
      <c r="J16" s="8" t="s">
        <v>26</v>
      </c>
      <c r="K16" s="8" t="s">
        <v>27</v>
      </c>
      <c r="L16" s="8" t="s">
        <v>28</v>
      </c>
    </row>
    <row r="17" customFormat="false" ht="15" hidden="false" customHeight="false" outlineLevel="0" collapsed="false">
      <c r="B17" s="9" t="n">
        <v>1</v>
      </c>
      <c r="C17" s="9" t="s">
        <v>29</v>
      </c>
      <c r="D17" s="9" t="s">
        <v>30</v>
      </c>
      <c r="E17" s="9" t="s">
        <v>31</v>
      </c>
      <c r="F17" s="9" t="n">
        <v>12</v>
      </c>
      <c r="G17" s="9" t="n">
        <v>2</v>
      </c>
      <c r="H17" s="9" t="n">
        <v>3</v>
      </c>
      <c r="I17" s="9" t="n">
        <v>2</v>
      </c>
      <c r="J17" s="9" t="n">
        <v>4.5</v>
      </c>
      <c r="K17" s="9" t="s">
        <v>32</v>
      </c>
      <c r="L17" s="10" t="n">
        <f aca="false">IF(F17&gt;0,(F17-G17)/F17,"")</f>
        <v>0.833333333333333</v>
      </c>
    </row>
    <row r="18" customFormat="false" ht="15" hidden="false" customHeight="false" outlineLevel="0" collapsed="false">
      <c r="B18" s="9" t="n">
        <v>2</v>
      </c>
      <c r="C18" s="9" t="s">
        <v>33</v>
      </c>
      <c r="D18" s="9" t="s">
        <v>34</v>
      </c>
      <c r="E18" s="9" t="s">
        <v>35</v>
      </c>
      <c r="F18" s="9" t="n">
        <v>6</v>
      </c>
      <c r="G18" s="9" t="n">
        <v>0</v>
      </c>
      <c r="H18" s="9" t="n">
        <v>1</v>
      </c>
      <c r="I18" s="9" t="n">
        <v>0</v>
      </c>
      <c r="J18" s="9" t="n">
        <v>0</v>
      </c>
      <c r="K18" s="9" t="s">
        <v>36</v>
      </c>
      <c r="L18" s="10" t="n">
        <f aca="false">IF(F18&gt;0,(F18-G18)/F18,"")</f>
        <v>1</v>
      </c>
    </row>
    <row r="20" customFormat="false" ht="15" hidden="false" customHeight="false" outlineLevel="0" collapsed="false">
      <c r="B20" s="7" t="s">
        <v>37</v>
      </c>
    </row>
    <row r="21" customFormat="false" ht="15" hidden="false" customHeight="false" outlineLevel="0" collapsed="false">
      <c r="B21" s="3" t="s">
        <v>38</v>
      </c>
      <c r="C21" s="11" t="s">
        <v>39</v>
      </c>
      <c r="D21" s="11"/>
      <c r="E21" s="11"/>
      <c r="F21" s="11"/>
      <c r="G21" s="11"/>
      <c r="H21" s="11"/>
      <c r="I21" s="11"/>
      <c r="J21" s="11"/>
      <c r="K21" s="11"/>
      <c r="L21" s="11"/>
    </row>
    <row r="22" customFormat="false" ht="15" hidden="false" customHeight="false" outlineLevel="0" collapsed="false">
      <c r="B22" s="3" t="s">
        <v>40</v>
      </c>
      <c r="C22" s="11" t="s">
        <v>41</v>
      </c>
      <c r="D22" s="11"/>
      <c r="E22" s="11"/>
      <c r="F22" s="11"/>
      <c r="G22" s="11"/>
      <c r="H22" s="11"/>
      <c r="I22" s="11"/>
      <c r="J22" s="11"/>
      <c r="K22" s="11"/>
      <c r="L22" s="11"/>
    </row>
    <row r="23" customFormat="false" ht="15" hidden="false" customHeight="false" outlineLevel="0" collapsed="false">
      <c r="B23" s="3" t="s">
        <v>42</v>
      </c>
      <c r="C23" s="11" t="s">
        <v>43</v>
      </c>
      <c r="D23" s="11"/>
      <c r="E23" s="11"/>
      <c r="F23" s="11"/>
      <c r="G23" s="11"/>
      <c r="H23" s="11"/>
      <c r="I23" s="11"/>
      <c r="J23" s="11"/>
      <c r="K23" s="11"/>
      <c r="L23" s="11"/>
    </row>
    <row r="24" customFormat="false" ht="15" hidden="false" customHeight="false" outlineLevel="0" collapsed="false">
      <c r="B24" s="3" t="s">
        <v>44</v>
      </c>
      <c r="C24" s="11" t="s">
        <v>45</v>
      </c>
      <c r="D24" s="11"/>
      <c r="E24" s="11"/>
      <c r="F24" s="11"/>
      <c r="G24" s="11"/>
      <c r="H24" s="11"/>
      <c r="I24" s="11"/>
      <c r="J24" s="11"/>
      <c r="K24" s="11"/>
      <c r="L24" s="11"/>
    </row>
    <row r="25" customFormat="false" ht="15" hidden="false" customHeight="false" outlineLevel="0" collapsed="false">
      <c r="B25" s="3" t="s">
        <v>46</v>
      </c>
      <c r="C25" s="11" t="s">
        <v>47</v>
      </c>
      <c r="D25" s="11"/>
      <c r="E25" s="11"/>
      <c r="F25" s="11"/>
      <c r="G25" s="11"/>
      <c r="H25" s="11"/>
      <c r="I25" s="11"/>
      <c r="J25" s="11"/>
      <c r="K25" s="11"/>
      <c r="L25" s="11"/>
    </row>
    <row r="26" customFormat="false" ht="15" hidden="false" customHeight="false" outlineLevel="0" collapsed="false">
      <c r="B26" s="3" t="s">
        <v>48</v>
      </c>
      <c r="C26" s="11" t="s">
        <v>49</v>
      </c>
      <c r="D26" s="11"/>
      <c r="E26" s="11"/>
      <c r="F26" s="11"/>
      <c r="G26" s="11"/>
      <c r="H26" s="11"/>
      <c r="I26" s="11"/>
      <c r="J26" s="11"/>
      <c r="K26" s="11"/>
      <c r="L26" s="11"/>
    </row>
    <row r="27" customFormat="false" ht="15" hidden="false" customHeight="false" outlineLevel="0" collapsed="false">
      <c r="B27" s="3" t="s">
        <v>50</v>
      </c>
      <c r="C27" s="11" t="s">
        <v>51</v>
      </c>
      <c r="D27" s="11"/>
      <c r="E27" s="11"/>
      <c r="F27" s="11"/>
      <c r="G27" s="11"/>
      <c r="H27" s="11"/>
      <c r="I27" s="11"/>
      <c r="J27" s="11"/>
      <c r="K27" s="11"/>
      <c r="L27" s="11"/>
    </row>
  </sheetData>
  <mergeCells count="16">
    <mergeCell ref="C5:L5"/>
    <mergeCell ref="C6:L6"/>
    <mergeCell ref="C7:L7"/>
    <mergeCell ref="C8:L8"/>
    <mergeCell ref="C9:L9"/>
    <mergeCell ref="C10:L10"/>
    <mergeCell ref="C11:L11"/>
    <mergeCell ref="C12:L12"/>
    <mergeCell ref="C13:L13"/>
    <mergeCell ref="C21:L21"/>
    <mergeCell ref="C22:L22"/>
    <mergeCell ref="C23:L23"/>
    <mergeCell ref="C24:L24"/>
    <mergeCell ref="C25:L25"/>
    <mergeCell ref="C26:L26"/>
    <mergeCell ref="C27:L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A29"/>
    <pageSetUpPr fitToPage="true"/>
  </sheetPr>
  <dimension ref="A1:K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6"/>
    <col collapsed="false" customWidth="true" hidden="false" outlineLevel="0" max="4" min="3" style="0" width="13"/>
    <col collapsed="false" customWidth="true" hidden="false" outlineLevel="0" max="6" min="5" style="0" width="11"/>
    <col collapsed="false" customWidth="true" hidden="false" outlineLevel="0" max="8" min="7" style="0" width="10"/>
    <col collapsed="false" customWidth="true" hidden="false" outlineLevel="0" max="9" min="9" style="0" width="12"/>
    <col collapsed="false" customWidth="true" hidden="false" outlineLevel="0" max="11" min="10" style="0" width="11"/>
  </cols>
  <sheetData>
    <row r="1" customFormat="false" ht="18.55" hidden="false" customHeight="false" outlineLevel="0" collapsed="false">
      <c r="A1" s="12" t="s">
        <v>52</v>
      </c>
    </row>
    <row r="2" customFormat="false" ht="15" hidden="false" customHeight="false" outlineLevel="0" collapsed="false">
      <c r="A2" s="2" t="s">
        <v>53</v>
      </c>
    </row>
    <row r="4" customFormat="false" ht="15" hidden="false" customHeight="false" outlineLevel="0" collapsed="false">
      <c r="A4" s="13" t="s">
        <v>54</v>
      </c>
      <c r="B4" s="13"/>
      <c r="C4" s="14"/>
      <c r="D4" s="14"/>
      <c r="E4" s="14"/>
      <c r="F4" s="14"/>
      <c r="G4" s="14"/>
      <c r="H4" s="14"/>
      <c r="I4" s="14"/>
      <c r="J4" s="14"/>
      <c r="K4" s="14"/>
    </row>
    <row r="7" customFormat="false" ht="15" hidden="false" customHeight="false" outlineLevel="0" collapsed="false">
      <c r="A7" s="7" t="s">
        <v>55</v>
      </c>
    </row>
    <row r="9" customFormat="false" ht="30" hidden="false" customHeight="true" outlineLevel="0" collapsed="false">
      <c r="A9" s="8" t="s">
        <v>18</v>
      </c>
      <c r="B9" s="8" t="s">
        <v>19</v>
      </c>
      <c r="C9" s="8" t="s">
        <v>20</v>
      </c>
      <c r="D9" s="8" t="s">
        <v>21</v>
      </c>
      <c r="E9" s="8" t="s">
        <v>22</v>
      </c>
      <c r="F9" s="8" t="s">
        <v>23</v>
      </c>
      <c r="G9" s="8" t="s">
        <v>24</v>
      </c>
      <c r="H9" s="8" t="s">
        <v>25</v>
      </c>
      <c r="I9" s="8" t="s">
        <v>26</v>
      </c>
      <c r="J9" s="8" t="s">
        <v>27</v>
      </c>
      <c r="K9" s="8" t="s">
        <v>56</v>
      </c>
    </row>
    <row r="10" customFormat="false" ht="15" hidden="false" customHeight="false" outlineLevel="0" collapsed="false">
      <c r="A10" s="15" t="n">
        <v>1</v>
      </c>
      <c r="B10" s="15" t="s">
        <v>57</v>
      </c>
      <c r="C10" s="16"/>
      <c r="D10" s="16"/>
      <c r="E10" s="17"/>
      <c r="F10" s="17"/>
      <c r="G10" s="15"/>
      <c r="H10" s="15"/>
      <c r="I10" s="17"/>
      <c r="J10" s="15"/>
      <c r="K10" s="10" t="str">
        <f aca="false">IF(AND(ISNUMBER(E10),E10&gt;0),(E10-F10)/E10,"")</f>
        <v/>
      </c>
    </row>
    <row r="11" customFormat="false" ht="15" hidden="false" customHeight="false" outlineLevel="0" collapsed="false">
      <c r="A11" s="15" t="n">
        <v>2</v>
      </c>
      <c r="B11" s="15" t="s">
        <v>58</v>
      </c>
      <c r="C11" s="16"/>
      <c r="D11" s="16"/>
      <c r="E11" s="17"/>
      <c r="F11" s="17"/>
      <c r="G11" s="15"/>
      <c r="H11" s="15"/>
      <c r="I11" s="17"/>
      <c r="J11" s="15"/>
      <c r="K11" s="10" t="str">
        <f aca="false">IF(AND(ISNUMBER(E11),E11&gt;0),(E11-F11)/E11,"")</f>
        <v/>
      </c>
    </row>
    <row r="12" customFormat="false" ht="15" hidden="false" customHeight="false" outlineLevel="0" collapsed="false">
      <c r="A12" s="15" t="n">
        <v>3</v>
      </c>
      <c r="B12" s="15" t="s">
        <v>59</v>
      </c>
      <c r="C12" s="16"/>
      <c r="D12" s="16"/>
      <c r="E12" s="17"/>
      <c r="F12" s="17"/>
      <c r="G12" s="15"/>
      <c r="H12" s="15"/>
      <c r="I12" s="17"/>
      <c r="J12" s="15"/>
      <c r="K12" s="10" t="str">
        <f aca="false">IF(AND(ISNUMBER(E12),E12&gt;0),(E12-F12)/E12,"")</f>
        <v/>
      </c>
    </row>
    <row r="13" customFormat="false" ht="15" hidden="false" customHeight="false" outlineLevel="0" collapsed="false">
      <c r="A13" s="3" t="s">
        <v>60</v>
      </c>
      <c r="E13" s="18" t="n">
        <f aca="false">SUM(E10:E12)</f>
        <v>0</v>
      </c>
      <c r="F13" s="18" t="n">
        <f aca="false">SUM(F10:F12)</f>
        <v>0</v>
      </c>
      <c r="G13" s="19" t="n">
        <f aca="false">SUM(G10:G12)</f>
        <v>0</v>
      </c>
      <c r="H13" s="19" t="n">
        <f aca="false">SUM(H10:H12)</f>
        <v>0</v>
      </c>
      <c r="I13" s="18" t="n">
        <f aca="false">SUM(I10:I12)</f>
        <v>0</v>
      </c>
      <c r="J13" s="20" t="str">
        <f aca="false">IF(COUNTA(J10:J12)=0,"",COUNTIF(J10:J12,"Sí")/COUNTA(J10:J12))</f>
        <v/>
      </c>
      <c r="K13" s="20" t="str">
        <f aca="false">IF(E13&gt;0,(E13-F13)/E13,"")</f>
        <v/>
      </c>
    </row>
    <row r="16" customFormat="false" ht="15" hidden="false" customHeight="false" outlineLevel="0" collapsed="false">
      <c r="A16" s="7" t="s">
        <v>61</v>
      </c>
    </row>
    <row r="17" customFormat="false" ht="15" hidden="false" customHeight="true" outlineLevel="0" collapsed="false">
      <c r="A17" s="8" t="s">
        <v>62</v>
      </c>
      <c r="B17" s="8" t="s">
        <v>63</v>
      </c>
      <c r="C17" s="8" t="s">
        <v>64</v>
      </c>
      <c r="D17" s="8"/>
      <c r="E17" s="8"/>
      <c r="F17" s="8"/>
      <c r="G17" s="8"/>
      <c r="H17" s="8"/>
      <c r="I17" s="8" t="s">
        <v>65</v>
      </c>
      <c r="J17" s="8" t="s">
        <v>66</v>
      </c>
      <c r="K17" s="8"/>
    </row>
    <row r="18" customFormat="false" ht="15" hidden="false" customHeight="false" outlineLevel="0" collapsed="false">
      <c r="A18" s="21" t="n">
        <v>1</v>
      </c>
      <c r="B18" s="15"/>
      <c r="C18" s="14"/>
      <c r="D18" s="14"/>
      <c r="E18" s="14"/>
      <c r="F18" s="14"/>
      <c r="G18" s="14"/>
      <c r="H18" s="14"/>
      <c r="I18" s="17"/>
      <c r="J18" s="14"/>
      <c r="K18" s="14"/>
    </row>
    <row r="19" customFormat="false" ht="15" hidden="false" customHeight="false" outlineLevel="0" collapsed="false">
      <c r="A19" s="21" t="n">
        <v>2</v>
      </c>
      <c r="B19" s="15"/>
      <c r="C19" s="14"/>
      <c r="D19" s="14"/>
      <c r="E19" s="14"/>
      <c r="F19" s="14"/>
      <c r="G19" s="14"/>
      <c r="H19" s="14"/>
      <c r="I19" s="17"/>
      <c r="J19" s="14"/>
      <c r="K19" s="14"/>
    </row>
    <row r="20" customFormat="false" ht="15" hidden="false" customHeight="false" outlineLevel="0" collapsed="false">
      <c r="A20" s="21" t="n">
        <v>3</v>
      </c>
      <c r="B20" s="15"/>
      <c r="C20" s="14"/>
      <c r="D20" s="14"/>
      <c r="E20" s="14"/>
      <c r="F20" s="14"/>
      <c r="G20" s="14"/>
      <c r="H20" s="14"/>
      <c r="I20" s="17"/>
      <c r="J20" s="14"/>
      <c r="K20" s="14"/>
    </row>
    <row r="21" customFormat="false" ht="15" hidden="false" customHeight="false" outlineLevel="0" collapsed="false">
      <c r="A21" s="21" t="n">
        <v>4</v>
      </c>
      <c r="B21" s="15"/>
      <c r="C21" s="14"/>
      <c r="D21" s="14"/>
      <c r="E21" s="14"/>
      <c r="F21" s="14"/>
      <c r="G21" s="14"/>
      <c r="H21" s="14"/>
      <c r="I21" s="17"/>
      <c r="J21" s="14"/>
      <c r="K21" s="14"/>
    </row>
    <row r="22" customFormat="false" ht="15" hidden="false" customHeight="false" outlineLevel="0" collapsed="false">
      <c r="A22" s="21" t="n">
        <v>5</v>
      </c>
      <c r="B22" s="15"/>
      <c r="C22" s="14"/>
      <c r="D22" s="14"/>
      <c r="E22" s="14"/>
      <c r="F22" s="14"/>
      <c r="G22" s="14"/>
      <c r="H22" s="14"/>
      <c r="I22" s="17"/>
      <c r="J22" s="14"/>
      <c r="K22" s="14"/>
    </row>
    <row r="23" customFormat="false" ht="15" hidden="false" customHeight="false" outlineLevel="0" collapsed="false">
      <c r="A23" s="21" t="n">
        <v>6</v>
      </c>
      <c r="B23" s="15"/>
      <c r="C23" s="14"/>
      <c r="D23" s="14"/>
      <c r="E23" s="14"/>
      <c r="F23" s="14"/>
      <c r="G23" s="14"/>
      <c r="H23" s="14"/>
      <c r="I23" s="17"/>
      <c r="J23" s="14"/>
      <c r="K23" s="14"/>
    </row>
    <row r="24" customFormat="false" ht="15" hidden="false" customHeight="false" outlineLevel="0" collapsed="false">
      <c r="A24" s="21" t="n">
        <v>7</v>
      </c>
      <c r="B24" s="15"/>
      <c r="C24" s="14"/>
      <c r="D24" s="14"/>
      <c r="E24" s="14"/>
      <c r="F24" s="14"/>
      <c r="G24" s="14"/>
      <c r="H24" s="14"/>
      <c r="I24" s="17"/>
      <c r="J24" s="14"/>
      <c r="K24" s="14"/>
    </row>
    <row r="25" customFormat="false" ht="15" hidden="false" customHeight="false" outlineLevel="0" collapsed="false">
      <c r="A25" s="21" t="n">
        <v>8</v>
      </c>
      <c r="B25" s="15"/>
      <c r="C25" s="14"/>
      <c r="D25" s="14"/>
      <c r="E25" s="14"/>
      <c r="F25" s="14"/>
      <c r="G25" s="14"/>
      <c r="H25" s="14"/>
      <c r="I25" s="17"/>
      <c r="J25" s="14"/>
      <c r="K25" s="14"/>
    </row>
    <row r="26" customFormat="false" ht="15" hidden="false" customHeight="false" outlineLevel="0" collapsed="false">
      <c r="H26" s="22" t="s">
        <v>60</v>
      </c>
      <c r="I26" s="18" t="n">
        <f aca="false">SUM(I18:I25)</f>
        <v>0</v>
      </c>
    </row>
    <row r="29" customFormat="false" ht="15" hidden="false" customHeight="false" outlineLevel="0" collapsed="false">
      <c r="A29" s="7" t="s">
        <v>67</v>
      </c>
    </row>
    <row r="30" customFormat="false" ht="30" hidden="false" customHeight="true" outlineLevel="0" collapsed="false">
      <c r="B30" s="8" t="s">
        <v>68</v>
      </c>
      <c r="C30" s="8" t="s">
        <v>69</v>
      </c>
      <c r="D30" s="8" t="s">
        <v>70</v>
      </c>
      <c r="E30" s="8" t="s">
        <v>71</v>
      </c>
      <c r="F30" s="8" t="s">
        <v>72</v>
      </c>
      <c r="G30" s="8"/>
      <c r="H30" s="8"/>
      <c r="I30" s="8"/>
      <c r="J30" s="8"/>
      <c r="K30" s="8"/>
    </row>
    <row r="31" customFormat="false" ht="15" hidden="false" customHeight="false" outlineLevel="0" collapsed="false">
      <c r="B31" s="16"/>
      <c r="C31" s="16"/>
      <c r="D31" s="23" t="str">
        <f aca="false">IF(AND(ISNUMBER(B31),ISNUMBER(C31)),ROUND((C31-B31)*1440,0),"")</f>
        <v/>
      </c>
      <c r="E31" s="24"/>
      <c r="F31" s="14"/>
      <c r="G31" s="14"/>
      <c r="H31" s="14"/>
      <c r="I31" s="14"/>
      <c r="J31" s="14"/>
      <c r="K31" s="14"/>
    </row>
    <row r="32" customFormat="false" ht="15" hidden="false" customHeight="false" outlineLevel="0" collapsed="false">
      <c r="B32" s="25" t="s">
        <v>73</v>
      </c>
    </row>
    <row r="35" customFormat="false" ht="15" hidden="false" customHeight="false" outlineLevel="0" collapsed="false">
      <c r="A35" s="7" t="s">
        <v>74</v>
      </c>
    </row>
    <row r="36" customFormat="false" ht="36" hidden="false" customHeight="true" outlineLevel="0" collapsed="false">
      <c r="A36" s="26" t="s">
        <v>75</v>
      </c>
      <c r="B36" s="26"/>
      <c r="C36" s="14"/>
      <c r="D36" s="14"/>
      <c r="E36" s="14"/>
      <c r="F36" s="14"/>
      <c r="G36" s="14"/>
      <c r="H36" s="14"/>
      <c r="I36" s="14"/>
      <c r="J36" s="14"/>
      <c r="K36" s="14"/>
    </row>
    <row r="37" customFormat="false" ht="36" hidden="false" customHeight="true" outlineLevel="0" collapsed="false">
      <c r="A37" s="26" t="s">
        <v>76</v>
      </c>
      <c r="B37" s="26"/>
      <c r="C37" s="14"/>
      <c r="D37" s="14"/>
      <c r="E37" s="14"/>
      <c r="F37" s="14"/>
      <c r="G37" s="14"/>
      <c r="H37" s="14"/>
      <c r="I37" s="14"/>
      <c r="J37" s="14"/>
      <c r="K37" s="14"/>
    </row>
    <row r="38" customFormat="false" ht="36" hidden="false" customHeight="true" outlineLevel="0" collapsed="false">
      <c r="A38" s="26" t="s">
        <v>77</v>
      </c>
      <c r="B38" s="26"/>
      <c r="C38" s="14"/>
      <c r="D38" s="14"/>
      <c r="E38" s="14"/>
      <c r="F38" s="14"/>
      <c r="G38" s="14"/>
      <c r="H38" s="14"/>
      <c r="I38" s="14"/>
      <c r="J38" s="14"/>
      <c r="K38" s="14"/>
    </row>
    <row r="39" customFormat="false" ht="36" hidden="false" customHeight="true" outlineLevel="0" collapsed="false">
      <c r="A39" s="26" t="s">
        <v>78</v>
      </c>
      <c r="B39" s="26"/>
      <c r="C39" s="14"/>
      <c r="D39" s="14"/>
      <c r="E39" s="14"/>
      <c r="F39" s="14"/>
      <c r="G39" s="14"/>
      <c r="H39" s="14"/>
      <c r="I39" s="14"/>
      <c r="J39" s="14"/>
      <c r="K39" s="14"/>
    </row>
    <row r="40" customFormat="false" ht="36" hidden="false" customHeight="true" outlineLevel="0" collapsed="false">
      <c r="A40" s="26" t="s">
        <v>79</v>
      </c>
      <c r="B40" s="26"/>
      <c r="C40" s="14"/>
      <c r="D40" s="14"/>
      <c r="E40" s="14"/>
      <c r="F40" s="14"/>
      <c r="G40" s="14"/>
      <c r="H40" s="14"/>
      <c r="I40" s="14"/>
      <c r="J40" s="14"/>
      <c r="K40" s="14"/>
    </row>
  </sheetData>
  <mergeCells count="32">
    <mergeCell ref="A4:B4"/>
    <mergeCell ref="C4:K4"/>
    <mergeCell ref="C17:H17"/>
    <mergeCell ref="J17:K17"/>
    <mergeCell ref="C18:H18"/>
    <mergeCell ref="J18:K18"/>
    <mergeCell ref="C19:H19"/>
    <mergeCell ref="J19:K19"/>
    <mergeCell ref="C20:H20"/>
    <mergeCell ref="J20:K20"/>
    <mergeCell ref="C21:H21"/>
    <mergeCell ref="J21:K21"/>
    <mergeCell ref="C22:H22"/>
    <mergeCell ref="J22:K22"/>
    <mergeCell ref="C23:H23"/>
    <mergeCell ref="J23:K23"/>
    <mergeCell ref="C24:H24"/>
    <mergeCell ref="J24:K24"/>
    <mergeCell ref="C25:H25"/>
    <mergeCell ref="J25:K25"/>
    <mergeCell ref="F30:K30"/>
    <mergeCell ref="F31:K31"/>
    <mergeCell ref="A36:B36"/>
    <mergeCell ref="C36:K36"/>
    <mergeCell ref="A37:B37"/>
    <mergeCell ref="C37:K37"/>
    <mergeCell ref="A38:B38"/>
    <mergeCell ref="C38:K38"/>
    <mergeCell ref="A39:B39"/>
    <mergeCell ref="C39:K39"/>
    <mergeCell ref="A40:B40"/>
    <mergeCell ref="C40:K40"/>
  </mergeCells>
  <dataValidations count="2">
    <dataValidation allowBlank="true" errorStyle="stop" operator="between" showDropDown="false" showErrorMessage="false" showInputMessage="false" sqref="J10:J12" type="list">
      <formula1>"Sí,No"</formula1>
      <formula2>0</formula2>
    </dataValidation>
    <dataValidation allowBlank="true" errorStyle="stop" operator="between" showDropDown="false" showErrorMessage="false" showInputMessage="false" sqref="B18:B25" type="list">
      <formula1>"Espera,Retrabajo / defecto,Trabajo parcialmente hecho,Cambio de tarea,Funcionalidad extra,Transferencia / traspaso,Demoras de proceso"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A29"/>
    <pageSetUpPr fitToPage="true"/>
  </sheetPr>
  <dimension ref="A1:K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6"/>
    <col collapsed="false" customWidth="true" hidden="false" outlineLevel="0" max="4" min="3" style="0" width="13"/>
    <col collapsed="false" customWidth="true" hidden="false" outlineLevel="0" max="6" min="5" style="0" width="11"/>
    <col collapsed="false" customWidth="true" hidden="false" outlineLevel="0" max="8" min="7" style="0" width="10"/>
    <col collapsed="false" customWidth="true" hidden="false" outlineLevel="0" max="9" min="9" style="0" width="12"/>
    <col collapsed="false" customWidth="true" hidden="false" outlineLevel="0" max="11" min="10" style="0" width="11"/>
  </cols>
  <sheetData>
    <row r="1" customFormat="false" ht="18.55" hidden="false" customHeight="false" outlineLevel="0" collapsed="false">
      <c r="A1" s="12" t="s">
        <v>80</v>
      </c>
    </row>
    <row r="2" customFormat="false" ht="15" hidden="false" customHeight="false" outlineLevel="0" collapsed="false">
      <c r="A2" s="2" t="s">
        <v>81</v>
      </c>
    </row>
    <row r="4" customFormat="false" ht="15" hidden="false" customHeight="false" outlineLevel="0" collapsed="false">
      <c r="A4" s="13" t="s">
        <v>54</v>
      </c>
      <c r="B4" s="13"/>
      <c r="C4" s="14"/>
      <c r="D4" s="14"/>
      <c r="E4" s="14"/>
      <c r="F4" s="14"/>
      <c r="G4" s="14"/>
      <c r="H4" s="14"/>
      <c r="I4" s="14"/>
      <c r="J4" s="14"/>
      <c r="K4" s="14"/>
    </row>
    <row r="7" customFormat="false" ht="15" hidden="false" customHeight="false" outlineLevel="0" collapsed="false">
      <c r="A7" s="7" t="s">
        <v>82</v>
      </c>
    </row>
    <row r="9" customFormat="false" ht="30" hidden="false" customHeight="true" outlineLevel="0" collapsed="false">
      <c r="A9" s="8" t="s">
        <v>18</v>
      </c>
      <c r="B9" s="8" t="s">
        <v>19</v>
      </c>
      <c r="C9" s="8" t="s">
        <v>20</v>
      </c>
      <c r="D9" s="8" t="s">
        <v>21</v>
      </c>
      <c r="E9" s="8" t="s">
        <v>22</v>
      </c>
      <c r="F9" s="8" t="s">
        <v>23</v>
      </c>
      <c r="G9" s="8" t="s">
        <v>24</v>
      </c>
      <c r="H9" s="8" t="s">
        <v>25</v>
      </c>
      <c r="I9" s="8" t="s">
        <v>26</v>
      </c>
      <c r="J9" s="8" t="s">
        <v>27</v>
      </c>
      <c r="K9" s="8" t="s">
        <v>56</v>
      </c>
    </row>
    <row r="10" customFormat="false" ht="15" hidden="false" customHeight="false" outlineLevel="0" collapsed="false">
      <c r="A10" s="15" t="n">
        <v>1</v>
      </c>
      <c r="B10" s="15" t="s">
        <v>83</v>
      </c>
      <c r="C10" s="16"/>
      <c r="D10" s="16"/>
      <c r="E10" s="17"/>
      <c r="F10" s="17"/>
      <c r="G10" s="15"/>
      <c r="H10" s="15"/>
      <c r="I10" s="17"/>
      <c r="J10" s="15"/>
      <c r="K10" s="10" t="str">
        <f aca="false">IF(AND(ISNUMBER(E10),E10&gt;0),(E10-F10)/E10,"")</f>
        <v/>
      </c>
    </row>
    <row r="11" customFormat="false" ht="15" hidden="false" customHeight="false" outlineLevel="0" collapsed="false">
      <c r="A11" s="15" t="n">
        <v>2</v>
      </c>
      <c r="B11" s="15" t="s">
        <v>84</v>
      </c>
      <c r="C11" s="16"/>
      <c r="D11" s="16"/>
      <c r="E11" s="17"/>
      <c r="F11" s="17"/>
      <c r="G11" s="15"/>
      <c r="H11" s="15"/>
      <c r="I11" s="17"/>
      <c r="J11" s="15"/>
      <c r="K11" s="10" t="str">
        <f aca="false">IF(AND(ISNUMBER(E11),E11&gt;0),(E11-F11)/E11,"")</f>
        <v/>
      </c>
    </row>
    <row r="12" customFormat="false" ht="15" hidden="false" customHeight="false" outlineLevel="0" collapsed="false">
      <c r="A12" s="15" t="n">
        <v>3</v>
      </c>
      <c r="B12" s="15" t="s">
        <v>85</v>
      </c>
      <c r="C12" s="16"/>
      <c r="D12" s="16"/>
      <c r="E12" s="17"/>
      <c r="F12" s="17"/>
      <c r="G12" s="15"/>
      <c r="H12" s="15"/>
      <c r="I12" s="17"/>
      <c r="J12" s="15"/>
      <c r="K12" s="10" t="str">
        <f aca="false">IF(AND(ISNUMBER(E12),E12&gt;0),(E12-F12)/E12,"")</f>
        <v/>
      </c>
    </row>
    <row r="13" customFormat="false" ht="15" hidden="false" customHeight="false" outlineLevel="0" collapsed="false">
      <c r="A13" s="3" t="s">
        <v>60</v>
      </c>
      <c r="E13" s="18" t="n">
        <f aca="false">SUM(E10:E12)</f>
        <v>0</v>
      </c>
      <c r="F13" s="18" t="n">
        <f aca="false">SUM(F10:F12)</f>
        <v>0</v>
      </c>
      <c r="G13" s="19" t="n">
        <f aca="false">SUM(G10:G12)</f>
        <v>0</v>
      </c>
      <c r="H13" s="19" t="n">
        <f aca="false">SUM(H10:H12)</f>
        <v>0</v>
      </c>
      <c r="I13" s="18" t="n">
        <f aca="false">SUM(I10:I12)</f>
        <v>0</v>
      </c>
      <c r="J13" s="20" t="str">
        <f aca="false">IF(COUNTA(J10:J12)=0,"",COUNTIF(J10:J12,"Sí")/COUNTA(J10:J12))</f>
        <v/>
      </c>
      <c r="K13" s="20" t="str">
        <f aca="false">IF(E13&gt;0,(E13-F13)/E13,"")</f>
        <v/>
      </c>
    </row>
    <row r="16" customFormat="false" ht="15" hidden="false" customHeight="false" outlineLevel="0" collapsed="false">
      <c r="A16" s="7" t="s">
        <v>61</v>
      </c>
    </row>
    <row r="17" customFormat="false" ht="15" hidden="false" customHeight="true" outlineLevel="0" collapsed="false">
      <c r="A17" s="8" t="s">
        <v>62</v>
      </c>
      <c r="B17" s="8" t="s">
        <v>63</v>
      </c>
      <c r="C17" s="8" t="s">
        <v>64</v>
      </c>
      <c r="D17" s="8"/>
      <c r="E17" s="8"/>
      <c r="F17" s="8"/>
      <c r="G17" s="8"/>
      <c r="H17" s="8"/>
      <c r="I17" s="8" t="s">
        <v>65</v>
      </c>
      <c r="J17" s="8" t="s">
        <v>66</v>
      </c>
      <c r="K17" s="8"/>
    </row>
    <row r="18" customFormat="false" ht="15" hidden="false" customHeight="false" outlineLevel="0" collapsed="false">
      <c r="A18" s="21" t="n">
        <v>1</v>
      </c>
      <c r="B18" s="15"/>
      <c r="C18" s="14"/>
      <c r="D18" s="14"/>
      <c r="E18" s="14"/>
      <c r="F18" s="14"/>
      <c r="G18" s="14"/>
      <c r="H18" s="14"/>
      <c r="I18" s="17"/>
      <c r="J18" s="14"/>
      <c r="K18" s="14"/>
    </row>
    <row r="19" customFormat="false" ht="15" hidden="false" customHeight="false" outlineLevel="0" collapsed="false">
      <c r="A19" s="21" t="n">
        <v>2</v>
      </c>
      <c r="B19" s="15"/>
      <c r="C19" s="14"/>
      <c r="D19" s="14"/>
      <c r="E19" s="14"/>
      <c r="F19" s="14"/>
      <c r="G19" s="14"/>
      <c r="H19" s="14"/>
      <c r="I19" s="17"/>
      <c r="J19" s="14"/>
      <c r="K19" s="14"/>
    </row>
    <row r="20" customFormat="false" ht="15" hidden="false" customHeight="false" outlineLevel="0" collapsed="false">
      <c r="A20" s="21" t="n">
        <v>3</v>
      </c>
      <c r="B20" s="15"/>
      <c r="C20" s="14"/>
      <c r="D20" s="14"/>
      <c r="E20" s="14"/>
      <c r="F20" s="14"/>
      <c r="G20" s="14"/>
      <c r="H20" s="14"/>
      <c r="I20" s="17"/>
      <c r="J20" s="14"/>
      <c r="K20" s="14"/>
    </row>
    <row r="21" customFormat="false" ht="15" hidden="false" customHeight="false" outlineLevel="0" collapsed="false">
      <c r="A21" s="21" t="n">
        <v>4</v>
      </c>
      <c r="B21" s="15"/>
      <c r="C21" s="14"/>
      <c r="D21" s="14"/>
      <c r="E21" s="14"/>
      <c r="F21" s="14"/>
      <c r="G21" s="14"/>
      <c r="H21" s="14"/>
      <c r="I21" s="17"/>
      <c r="J21" s="14"/>
      <c r="K21" s="14"/>
    </row>
    <row r="22" customFormat="false" ht="15" hidden="false" customHeight="false" outlineLevel="0" collapsed="false">
      <c r="A22" s="21" t="n">
        <v>5</v>
      </c>
      <c r="B22" s="15"/>
      <c r="C22" s="14"/>
      <c r="D22" s="14"/>
      <c r="E22" s="14"/>
      <c r="F22" s="14"/>
      <c r="G22" s="14"/>
      <c r="H22" s="14"/>
      <c r="I22" s="17"/>
      <c r="J22" s="14"/>
      <c r="K22" s="14"/>
    </row>
    <row r="23" customFormat="false" ht="15" hidden="false" customHeight="false" outlineLevel="0" collapsed="false">
      <c r="A23" s="21" t="n">
        <v>6</v>
      </c>
      <c r="B23" s="15"/>
      <c r="C23" s="14"/>
      <c r="D23" s="14"/>
      <c r="E23" s="14"/>
      <c r="F23" s="14"/>
      <c r="G23" s="14"/>
      <c r="H23" s="14"/>
      <c r="I23" s="17"/>
      <c r="J23" s="14"/>
      <c r="K23" s="14"/>
    </row>
    <row r="24" customFormat="false" ht="15" hidden="false" customHeight="false" outlineLevel="0" collapsed="false">
      <c r="A24" s="21" t="n">
        <v>7</v>
      </c>
      <c r="B24" s="15"/>
      <c r="C24" s="14"/>
      <c r="D24" s="14"/>
      <c r="E24" s="14"/>
      <c r="F24" s="14"/>
      <c r="G24" s="14"/>
      <c r="H24" s="14"/>
      <c r="I24" s="17"/>
      <c r="J24" s="14"/>
      <c r="K24" s="14"/>
    </row>
    <row r="25" customFormat="false" ht="15" hidden="false" customHeight="false" outlineLevel="0" collapsed="false">
      <c r="A25" s="21" t="n">
        <v>8</v>
      </c>
      <c r="B25" s="15"/>
      <c r="C25" s="14"/>
      <c r="D25" s="14"/>
      <c r="E25" s="14"/>
      <c r="F25" s="14"/>
      <c r="G25" s="14"/>
      <c r="H25" s="14"/>
      <c r="I25" s="17"/>
      <c r="J25" s="14"/>
      <c r="K25" s="14"/>
    </row>
    <row r="26" customFormat="false" ht="15" hidden="false" customHeight="false" outlineLevel="0" collapsed="false">
      <c r="H26" s="22" t="s">
        <v>60</v>
      </c>
      <c r="I26" s="18" t="n">
        <f aca="false">SUM(I18:I25)</f>
        <v>0</v>
      </c>
    </row>
    <row r="29" customFormat="false" ht="15" hidden="false" customHeight="false" outlineLevel="0" collapsed="false">
      <c r="A29" s="7" t="s">
        <v>67</v>
      </c>
    </row>
    <row r="30" customFormat="false" ht="30" hidden="false" customHeight="true" outlineLevel="0" collapsed="false">
      <c r="B30" s="8" t="s">
        <v>68</v>
      </c>
      <c r="C30" s="8" t="s">
        <v>69</v>
      </c>
      <c r="D30" s="8" t="s">
        <v>70</v>
      </c>
      <c r="E30" s="8" t="s">
        <v>71</v>
      </c>
      <c r="F30" s="8" t="s">
        <v>72</v>
      </c>
      <c r="G30" s="8"/>
      <c r="H30" s="8"/>
      <c r="I30" s="8"/>
      <c r="J30" s="8"/>
      <c r="K30" s="8"/>
    </row>
    <row r="31" customFormat="false" ht="15" hidden="false" customHeight="false" outlineLevel="0" collapsed="false">
      <c r="B31" s="16"/>
      <c r="C31" s="16"/>
      <c r="D31" s="23" t="str">
        <f aca="false">IF(AND(ISNUMBER(B31),ISNUMBER(C31)),ROUND((C31-B31)*1440,0),"")</f>
        <v/>
      </c>
      <c r="E31" s="24"/>
      <c r="F31" s="14"/>
      <c r="G31" s="14"/>
      <c r="H31" s="14"/>
      <c r="I31" s="14"/>
      <c r="J31" s="14"/>
      <c r="K31" s="14"/>
    </row>
    <row r="32" customFormat="false" ht="15" hidden="false" customHeight="false" outlineLevel="0" collapsed="false">
      <c r="B32" s="25" t="s">
        <v>73</v>
      </c>
    </row>
    <row r="35" customFormat="false" ht="15" hidden="false" customHeight="false" outlineLevel="0" collapsed="false">
      <c r="A35" s="7" t="s">
        <v>74</v>
      </c>
    </row>
    <row r="36" customFormat="false" ht="36" hidden="false" customHeight="true" outlineLevel="0" collapsed="false">
      <c r="A36" s="26" t="s">
        <v>75</v>
      </c>
      <c r="B36" s="26"/>
      <c r="C36" s="14"/>
      <c r="D36" s="14"/>
      <c r="E36" s="14"/>
      <c r="F36" s="14"/>
      <c r="G36" s="14"/>
      <c r="H36" s="14"/>
      <c r="I36" s="14"/>
      <c r="J36" s="14"/>
      <c r="K36" s="14"/>
    </row>
    <row r="37" customFormat="false" ht="36" hidden="false" customHeight="true" outlineLevel="0" collapsed="false">
      <c r="A37" s="26" t="s">
        <v>76</v>
      </c>
      <c r="B37" s="26"/>
      <c r="C37" s="14"/>
      <c r="D37" s="14"/>
      <c r="E37" s="14"/>
      <c r="F37" s="14"/>
      <c r="G37" s="14"/>
      <c r="H37" s="14"/>
      <c r="I37" s="14"/>
      <c r="J37" s="14"/>
      <c r="K37" s="14"/>
    </row>
    <row r="38" customFormat="false" ht="36" hidden="false" customHeight="true" outlineLevel="0" collapsed="false">
      <c r="A38" s="26" t="s">
        <v>77</v>
      </c>
      <c r="B38" s="26"/>
      <c r="C38" s="14"/>
      <c r="D38" s="14"/>
      <c r="E38" s="14"/>
      <c r="F38" s="14"/>
      <c r="G38" s="14"/>
      <c r="H38" s="14"/>
      <c r="I38" s="14"/>
      <c r="J38" s="14"/>
      <c r="K38" s="14"/>
    </row>
    <row r="39" customFormat="false" ht="36" hidden="false" customHeight="true" outlineLevel="0" collapsed="false">
      <c r="A39" s="26" t="s">
        <v>78</v>
      </c>
      <c r="B39" s="26"/>
      <c r="C39" s="14"/>
      <c r="D39" s="14"/>
      <c r="E39" s="14"/>
      <c r="F39" s="14"/>
      <c r="G39" s="14"/>
      <c r="H39" s="14"/>
      <c r="I39" s="14"/>
      <c r="J39" s="14"/>
      <c r="K39" s="14"/>
    </row>
    <row r="40" customFormat="false" ht="36" hidden="false" customHeight="true" outlineLevel="0" collapsed="false">
      <c r="A40" s="26" t="s">
        <v>79</v>
      </c>
      <c r="B40" s="26"/>
      <c r="C40" s="14"/>
      <c r="D40" s="14"/>
      <c r="E40" s="14"/>
      <c r="F40" s="14"/>
      <c r="G40" s="14"/>
      <c r="H40" s="14"/>
      <c r="I40" s="14"/>
      <c r="J40" s="14"/>
      <c r="K40" s="14"/>
    </row>
  </sheetData>
  <mergeCells count="32">
    <mergeCell ref="A4:B4"/>
    <mergeCell ref="C4:K4"/>
    <mergeCell ref="C17:H17"/>
    <mergeCell ref="J17:K17"/>
    <mergeCell ref="C18:H18"/>
    <mergeCell ref="J18:K18"/>
    <mergeCell ref="C19:H19"/>
    <mergeCell ref="J19:K19"/>
    <mergeCell ref="C20:H20"/>
    <mergeCell ref="J20:K20"/>
    <mergeCell ref="C21:H21"/>
    <mergeCell ref="J21:K21"/>
    <mergeCell ref="C22:H22"/>
    <mergeCell ref="J22:K22"/>
    <mergeCell ref="C23:H23"/>
    <mergeCell ref="J23:K23"/>
    <mergeCell ref="C24:H24"/>
    <mergeCell ref="J24:K24"/>
    <mergeCell ref="C25:H25"/>
    <mergeCell ref="J25:K25"/>
    <mergeCell ref="F30:K30"/>
    <mergeCell ref="F31:K31"/>
    <mergeCell ref="A36:B36"/>
    <mergeCell ref="C36:K36"/>
    <mergeCell ref="A37:B37"/>
    <mergeCell ref="C37:K37"/>
    <mergeCell ref="A38:B38"/>
    <mergeCell ref="C38:K38"/>
    <mergeCell ref="A39:B39"/>
    <mergeCell ref="C39:K39"/>
    <mergeCell ref="A40:B40"/>
    <mergeCell ref="C40:K40"/>
  </mergeCells>
  <dataValidations count="2">
    <dataValidation allowBlank="true" errorStyle="stop" operator="between" showDropDown="false" showErrorMessage="false" showInputMessage="false" sqref="J10:J12" type="list">
      <formula1>"Sí,No"</formula1>
      <formula2>0</formula2>
    </dataValidation>
    <dataValidation allowBlank="true" errorStyle="stop" operator="between" showDropDown="false" showErrorMessage="false" showInputMessage="false" sqref="B18:B25" type="list">
      <formula1>"Espera,Retrabajo / defecto,Trabajo parcialmente hecho,Cambio de tarea,Funcionalidad extra,Transferencia / traspaso,Demoras de proceso"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A29"/>
    <pageSetUpPr fitToPage="true"/>
  </sheetPr>
  <dimension ref="A1:K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6"/>
    <col collapsed="false" customWidth="true" hidden="false" outlineLevel="0" max="4" min="3" style="0" width="13"/>
    <col collapsed="false" customWidth="true" hidden="false" outlineLevel="0" max="6" min="5" style="0" width="11"/>
    <col collapsed="false" customWidth="true" hidden="false" outlineLevel="0" max="8" min="7" style="0" width="10"/>
    <col collapsed="false" customWidth="true" hidden="false" outlineLevel="0" max="9" min="9" style="0" width="12"/>
    <col collapsed="false" customWidth="true" hidden="false" outlineLevel="0" max="11" min="10" style="0" width="11"/>
  </cols>
  <sheetData>
    <row r="1" customFormat="false" ht="18.55" hidden="false" customHeight="false" outlineLevel="0" collapsed="false">
      <c r="A1" s="12" t="s">
        <v>86</v>
      </c>
    </row>
    <row r="2" customFormat="false" ht="15" hidden="false" customHeight="false" outlineLevel="0" collapsed="false">
      <c r="A2" s="2" t="s">
        <v>87</v>
      </c>
    </row>
    <row r="4" customFormat="false" ht="15" hidden="false" customHeight="false" outlineLevel="0" collapsed="false">
      <c r="A4" s="13" t="s">
        <v>54</v>
      </c>
      <c r="B4" s="13"/>
      <c r="C4" s="14"/>
      <c r="D4" s="14"/>
      <c r="E4" s="14"/>
      <c r="F4" s="14"/>
      <c r="G4" s="14"/>
      <c r="H4" s="14"/>
      <c r="I4" s="14"/>
      <c r="J4" s="14"/>
      <c r="K4" s="14"/>
    </row>
    <row r="7" customFormat="false" ht="15" hidden="false" customHeight="false" outlineLevel="0" collapsed="false">
      <c r="A7" s="7" t="s">
        <v>88</v>
      </c>
    </row>
    <row r="9" customFormat="false" ht="30" hidden="false" customHeight="true" outlineLevel="0" collapsed="false">
      <c r="A9" s="8" t="s">
        <v>18</v>
      </c>
      <c r="B9" s="8" t="s">
        <v>19</v>
      </c>
      <c r="C9" s="8" t="s">
        <v>20</v>
      </c>
      <c r="D9" s="8" t="s">
        <v>21</v>
      </c>
      <c r="E9" s="8" t="s">
        <v>22</v>
      </c>
      <c r="F9" s="8" t="s">
        <v>23</v>
      </c>
      <c r="G9" s="8" t="s">
        <v>24</v>
      </c>
      <c r="H9" s="8" t="s">
        <v>25</v>
      </c>
      <c r="I9" s="8" t="s">
        <v>26</v>
      </c>
      <c r="J9" s="8" t="s">
        <v>27</v>
      </c>
      <c r="K9" s="8" t="s">
        <v>56</v>
      </c>
    </row>
    <row r="10" customFormat="false" ht="15" hidden="false" customHeight="false" outlineLevel="0" collapsed="false">
      <c r="A10" s="15" t="n">
        <v>1</v>
      </c>
      <c r="B10" s="15" t="s">
        <v>29</v>
      </c>
      <c r="C10" s="16"/>
      <c r="D10" s="16"/>
      <c r="E10" s="17"/>
      <c r="F10" s="17"/>
      <c r="G10" s="15"/>
      <c r="H10" s="15"/>
      <c r="I10" s="17"/>
      <c r="J10" s="15"/>
      <c r="K10" s="10" t="str">
        <f aca="false">IF(AND(ISNUMBER(E10),E10&gt;0),(E10-F10)/E10,"")</f>
        <v/>
      </c>
    </row>
    <row r="11" customFormat="false" ht="15" hidden="false" customHeight="false" outlineLevel="0" collapsed="false">
      <c r="A11" s="15" t="n">
        <v>2</v>
      </c>
      <c r="B11" s="15" t="s">
        <v>33</v>
      </c>
      <c r="C11" s="16"/>
      <c r="D11" s="16"/>
      <c r="E11" s="17"/>
      <c r="F11" s="17"/>
      <c r="G11" s="15"/>
      <c r="H11" s="15"/>
      <c r="I11" s="17"/>
      <c r="J11" s="15"/>
      <c r="K11" s="10" t="str">
        <f aca="false">IF(AND(ISNUMBER(E11),E11&gt;0),(E11-F11)/E11,"")</f>
        <v/>
      </c>
    </row>
    <row r="12" customFormat="false" ht="15" hidden="false" customHeight="false" outlineLevel="0" collapsed="false">
      <c r="A12" s="15" t="n">
        <v>3</v>
      </c>
      <c r="B12" s="15" t="s">
        <v>89</v>
      </c>
      <c r="C12" s="16"/>
      <c r="D12" s="16"/>
      <c r="E12" s="17"/>
      <c r="F12" s="17"/>
      <c r="G12" s="15"/>
      <c r="H12" s="15"/>
      <c r="I12" s="17"/>
      <c r="J12" s="15"/>
      <c r="K12" s="10" t="str">
        <f aca="false">IF(AND(ISNUMBER(E12),E12&gt;0),(E12-F12)/E12,"")</f>
        <v/>
      </c>
    </row>
    <row r="13" customFormat="false" ht="15" hidden="false" customHeight="false" outlineLevel="0" collapsed="false">
      <c r="A13" s="3" t="s">
        <v>60</v>
      </c>
      <c r="E13" s="18" t="n">
        <f aca="false">SUM(E10:E12)</f>
        <v>0</v>
      </c>
      <c r="F13" s="18" t="n">
        <f aca="false">SUM(F10:F12)</f>
        <v>0</v>
      </c>
      <c r="G13" s="19" t="n">
        <f aca="false">SUM(G10:G12)</f>
        <v>0</v>
      </c>
      <c r="H13" s="19" t="n">
        <f aca="false">SUM(H10:H12)</f>
        <v>0</v>
      </c>
      <c r="I13" s="18" t="n">
        <f aca="false">SUM(I10:I12)</f>
        <v>0</v>
      </c>
      <c r="J13" s="20" t="str">
        <f aca="false">IF(COUNTA(J10:J12)=0,"",COUNTIF(J10:J12,"Sí")/COUNTA(J10:J12))</f>
        <v/>
      </c>
      <c r="K13" s="20" t="str">
        <f aca="false">IF(E13&gt;0,(E13-F13)/E13,"")</f>
        <v/>
      </c>
    </row>
    <row r="16" customFormat="false" ht="15" hidden="false" customHeight="false" outlineLevel="0" collapsed="false">
      <c r="A16" s="7" t="s">
        <v>61</v>
      </c>
    </row>
    <row r="17" customFormat="false" ht="15" hidden="false" customHeight="true" outlineLevel="0" collapsed="false">
      <c r="A17" s="8" t="s">
        <v>62</v>
      </c>
      <c r="B17" s="8" t="s">
        <v>63</v>
      </c>
      <c r="C17" s="8" t="s">
        <v>64</v>
      </c>
      <c r="D17" s="8"/>
      <c r="E17" s="8"/>
      <c r="F17" s="8"/>
      <c r="G17" s="8"/>
      <c r="H17" s="8"/>
      <c r="I17" s="8" t="s">
        <v>65</v>
      </c>
      <c r="J17" s="8" t="s">
        <v>66</v>
      </c>
      <c r="K17" s="8"/>
    </row>
    <row r="18" customFormat="false" ht="15" hidden="false" customHeight="false" outlineLevel="0" collapsed="false">
      <c r="A18" s="21" t="n">
        <v>1</v>
      </c>
      <c r="B18" s="15"/>
      <c r="C18" s="14"/>
      <c r="D18" s="14"/>
      <c r="E18" s="14"/>
      <c r="F18" s="14"/>
      <c r="G18" s="14"/>
      <c r="H18" s="14"/>
      <c r="I18" s="17"/>
      <c r="J18" s="14"/>
      <c r="K18" s="14"/>
    </row>
    <row r="19" customFormat="false" ht="15" hidden="false" customHeight="false" outlineLevel="0" collapsed="false">
      <c r="A19" s="21" t="n">
        <v>2</v>
      </c>
      <c r="B19" s="15"/>
      <c r="C19" s="14"/>
      <c r="D19" s="14"/>
      <c r="E19" s="14"/>
      <c r="F19" s="14"/>
      <c r="G19" s="14"/>
      <c r="H19" s="14"/>
      <c r="I19" s="17"/>
      <c r="J19" s="14"/>
      <c r="K19" s="14"/>
    </row>
    <row r="20" customFormat="false" ht="15" hidden="false" customHeight="false" outlineLevel="0" collapsed="false">
      <c r="A20" s="21" t="n">
        <v>3</v>
      </c>
      <c r="B20" s="15"/>
      <c r="C20" s="14"/>
      <c r="D20" s="14"/>
      <c r="E20" s="14"/>
      <c r="F20" s="14"/>
      <c r="G20" s="14"/>
      <c r="H20" s="14"/>
      <c r="I20" s="17"/>
      <c r="J20" s="14"/>
      <c r="K20" s="14"/>
    </row>
    <row r="21" customFormat="false" ht="15" hidden="false" customHeight="false" outlineLevel="0" collapsed="false">
      <c r="A21" s="21" t="n">
        <v>4</v>
      </c>
      <c r="B21" s="15"/>
      <c r="C21" s="14"/>
      <c r="D21" s="14"/>
      <c r="E21" s="14"/>
      <c r="F21" s="14"/>
      <c r="G21" s="14"/>
      <c r="H21" s="14"/>
      <c r="I21" s="17"/>
      <c r="J21" s="14"/>
      <c r="K21" s="14"/>
    </row>
    <row r="22" customFormat="false" ht="15" hidden="false" customHeight="false" outlineLevel="0" collapsed="false">
      <c r="A22" s="21" t="n">
        <v>5</v>
      </c>
      <c r="B22" s="15"/>
      <c r="C22" s="14"/>
      <c r="D22" s="14"/>
      <c r="E22" s="14"/>
      <c r="F22" s="14"/>
      <c r="G22" s="14"/>
      <c r="H22" s="14"/>
      <c r="I22" s="17"/>
      <c r="J22" s="14"/>
      <c r="K22" s="14"/>
    </row>
    <row r="23" customFormat="false" ht="15" hidden="false" customHeight="false" outlineLevel="0" collapsed="false">
      <c r="A23" s="21" t="n">
        <v>6</v>
      </c>
      <c r="B23" s="15"/>
      <c r="C23" s="14"/>
      <c r="D23" s="14"/>
      <c r="E23" s="14"/>
      <c r="F23" s="14"/>
      <c r="G23" s="14"/>
      <c r="H23" s="14"/>
      <c r="I23" s="17"/>
      <c r="J23" s="14"/>
      <c r="K23" s="14"/>
    </row>
    <row r="24" customFormat="false" ht="15" hidden="false" customHeight="false" outlineLevel="0" collapsed="false">
      <c r="A24" s="21" t="n">
        <v>7</v>
      </c>
      <c r="B24" s="15"/>
      <c r="C24" s="14"/>
      <c r="D24" s="14"/>
      <c r="E24" s="14"/>
      <c r="F24" s="14"/>
      <c r="G24" s="14"/>
      <c r="H24" s="14"/>
      <c r="I24" s="17"/>
      <c r="J24" s="14"/>
      <c r="K24" s="14"/>
    </row>
    <row r="25" customFormat="false" ht="15" hidden="false" customHeight="false" outlineLevel="0" collapsed="false">
      <c r="A25" s="21" t="n">
        <v>8</v>
      </c>
      <c r="B25" s="15"/>
      <c r="C25" s="14"/>
      <c r="D25" s="14"/>
      <c r="E25" s="14"/>
      <c r="F25" s="14"/>
      <c r="G25" s="14"/>
      <c r="H25" s="14"/>
      <c r="I25" s="17"/>
      <c r="J25" s="14"/>
      <c r="K25" s="14"/>
    </row>
    <row r="26" customFormat="false" ht="15" hidden="false" customHeight="false" outlineLevel="0" collapsed="false">
      <c r="H26" s="22" t="s">
        <v>60</v>
      </c>
      <c r="I26" s="18" t="n">
        <f aca="false">SUM(I18:I25)</f>
        <v>0</v>
      </c>
    </row>
    <row r="29" customFormat="false" ht="15" hidden="false" customHeight="false" outlineLevel="0" collapsed="false">
      <c r="A29" s="7" t="s">
        <v>67</v>
      </c>
    </row>
    <row r="30" customFormat="false" ht="30" hidden="false" customHeight="true" outlineLevel="0" collapsed="false">
      <c r="B30" s="8" t="s">
        <v>68</v>
      </c>
      <c r="C30" s="8" t="s">
        <v>69</v>
      </c>
      <c r="D30" s="8" t="s">
        <v>70</v>
      </c>
      <c r="E30" s="8" t="s">
        <v>71</v>
      </c>
      <c r="F30" s="8" t="s">
        <v>72</v>
      </c>
      <c r="G30" s="8"/>
      <c r="H30" s="8"/>
      <c r="I30" s="8"/>
      <c r="J30" s="8"/>
      <c r="K30" s="8"/>
    </row>
    <row r="31" customFormat="false" ht="15" hidden="false" customHeight="false" outlineLevel="0" collapsed="false">
      <c r="B31" s="16"/>
      <c r="C31" s="16"/>
      <c r="D31" s="23" t="str">
        <f aca="false">IF(AND(ISNUMBER(B31),ISNUMBER(C31)),ROUND((C31-B31)*1440,0),"")</f>
        <v/>
      </c>
      <c r="E31" s="24"/>
      <c r="F31" s="14"/>
      <c r="G31" s="14"/>
      <c r="H31" s="14"/>
      <c r="I31" s="14"/>
      <c r="J31" s="14"/>
      <c r="K31" s="14"/>
    </row>
    <row r="32" customFormat="false" ht="15" hidden="false" customHeight="false" outlineLevel="0" collapsed="false">
      <c r="B32" s="25" t="s">
        <v>73</v>
      </c>
    </row>
    <row r="35" customFormat="false" ht="15" hidden="false" customHeight="false" outlineLevel="0" collapsed="false">
      <c r="A35" s="7" t="s">
        <v>74</v>
      </c>
    </row>
    <row r="36" customFormat="false" ht="36" hidden="false" customHeight="true" outlineLevel="0" collapsed="false">
      <c r="A36" s="26" t="s">
        <v>75</v>
      </c>
      <c r="B36" s="26"/>
      <c r="C36" s="14"/>
      <c r="D36" s="14"/>
      <c r="E36" s="14"/>
      <c r="F36" s="14"/>
      <c r="G36" s="14"/>
      <c r="H36" s="14"/>
      <c r="I36" s="14"/>
      <c r="J36" s="14"/>
      <c r="K36" s="14"/>
    </row>
    <row r="37" customFormat="false" ht="36" hidden="false" customHeight="true" outlineLevel="0" collapsed="false">
      <c r="A37" s="26" t="s">
        <v>76</v>
      </c>
      <c r="B37" s="26"/>
      <c r="C37" s="14"/>
      <c r="D37" s="14"/>
      <c r="E37" s="14"/>
      <c r="F37" s="14"/>
      <c r="G37" s="14"/>
      <c r="H37" s="14"/>
      <c r="I37" s="14"/>
      <c r="J37" s="14"/>
      <c r="K37" s="14"/>
    </row>
    <row r="38" customFormat="false" ht="36" hidden="false" customHeight="true" outlineLevel="0" collapsed="false">
      <c r="A38" s="26" t="s">
        <v>77</v>
      </c>
      <c r="B38" s="26"/>
      <c r="C38" s="14"/>
      <c r="D38" s="14"/>
      <c r="E38" s="14"/>
      <c r="F38" s="14"/>
      <c r="G38" s="14"/>
      <c r="H38" s="14"/>
      <c r="I38" s="14"/>
      <c r="J38" s="14"/>
      <c r="K38" s="14"/>
    </row>
    <row r="39" customFormat="false" ht="36" hidden="false" customHeight="true" outlineLevel="0" collapsed="false">
      <c r="A39" s="26" t="s">
        <v>78</v>
      </c>
      <c r="B39" s="26"/>
      <c r="C39" s="14"/>
      <c r="D39" s="14"/>
      <c r="E39" s="14"/>
      <c r="F39" s="14"/>
      <c r="G39" s="14"/>
      <c r="H39" s="14"/>
      <c r="I39" s="14"/>
      <c r="J39" s="14"/>
      <c r="K39" s="14"/>
    </row>
    <row r="40" customFormat="false" ht="36" hidden="false" customHeight="true" outlineLevel="0" collapsed="false">
      <c r="A40" s="26" t="s">
        <v>79</v>
      </c>
      <c r="B40" s="26"/>
      <c r="C40" s="14"/>
      <c r="D40" s="14"/>
      <c r="E40" s="14"/>
      <c r="F40" s="14"/>
      <c r="G40" s="14"/>
      <c r="H40" s="14"/>
      <c r="I40" s="14"/>
      <c r="J40" s="14"/>
      <c r="K40" s="14"/>
    </row>
  </sheetData>
  <mergeCells count="32">
    <mergeCell ref="A4:B4"/>
    <mergeCell ref="C4:K4"/>
    <mergeCell ref="C17:H17"/>
    <mergeCell ref="J17:K17"/>
    <mergeCell ref="C18:H18"/>
    <mergeCell ref="J18:K18"/>
    <mergeCell ref="C19:H19"/>
    <mergeCell ref="J19:K19"/>
    <mergeCell ref="C20:H20"/>
    <mergeCell ref="J20:K20"/>
    <mergeCell ref="C21:H21"/>
    <mergeCell ref="J21:K21"/>
    <mergeCell ref="C22:H22"/>
    <mergeCell ref="J22:K22"/>
    <mergeCell ref="C23:H23"/>
    <mergeCell ref="J23:K23"/>
    <mergeCell ref="C24:H24"/>
    <mergeCell ref="J24:K24"/>
    <mergeCell ref="C25:H25"/>
    <mergeCell ref="J25:K25"/>
    <mergeCell ref="F30:K30"/>
    <mergeCell ref="F31:K31"/>
    <mergeCell ref="A36:B36"/>
    <mergeCell ref="C36:K36"/>
    <mergeCell ref="A37:B37"/>
    <mergeCell ref="C37:K37"/>
    <mergeCell ref="A38:B38"/>
    <mergeCell ref="C38:K38"/>
    <mergeCell ref="A39:B39"/>
    <mergeCell ref="C39:K39"/>
    <mergeCell ref="A40:B40"/>
    <mergeCell ref="C40:K40"/>
  </mergeCells>
  <dataValidations count="2">
    <dataValidation allowBlank="true" errorStyle="stop" operator="between" showDropDown="false" showErrorMessage="false" showInputMessage="false" sqref="J10:J12" type="list">
      <formula1>"Sí,No"</formula1>
      <formula2>0</formula2>
    </dataValidation>
    <dataValidation allowBlank="true" errorStyle="stop" operator="between" showDropDown="false" showErrorMessage="false" showInputMessage="false" sqref="B18:B25" type="list">
      <formula1>"Espera,Retrabajo / defecto,Trabajo parcialmente hecho,Cambio de tarea,Funcionalidad extra,Transferencia / traspaso,Demoras de proceso"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A29"/>
    <pageSetUpPr fitToPage="true"/>
  </sheetPr>
  <dimension ref="A1:K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6"/>
    <col collapsed="false" customWidth="true" hidden="false" outlineLevel="0" max="4" min="3" style="0" width="13"/>
    <col collapsed="false" customWidth="true" hidden="false" outlineLevel="0" max="6" min="5" style="0" width="11"/>
    <col collapsed="false" customWidth="true" hidden="false" outlineLevel="0" max="8" min="7" style="0" width="10"/>
    <col collapsed="false" customWidth="true" hidden="false" outlineLevel="0" max="9" min="9" style="0" width="12"/>
    <col collapsed="false" customWidth="true" hidden="false" outlineLevel="0" max="11" min="10" style="0" width="11"/>
  </cols>
  <sheetData>
    <row r="1" customFormat="false" ht="18.55" hidden="false" customHeight="false" outlineLevel="0" collapsed="false">
      <c r="A1" s="12" t="s">
        <v>90</v>
      </c>
    </row>
    <row r="2" customFormat="false" ht="15" hidden="false" customHeight="false" outlineLevel="0" collapsed="false">
      <c r="A2" s="2" t="s">
        <v>91</v>
      </c>
    </row>
    <row r="4" customFormat="false" ht="15" hidden="false" customHeight="false" outlineLevel="0" collapsed="false">
      <c r="A4" s="13" t="s">
        <v>54</v>
      </c>
      <c r="B4" s="13"/>
      <c r="C4" s="14"/>
      <c r="D4" s="14"/>
      <c r="E4" s="14"/>
      <c r="F4" s="14"/>
      <c r="G4" s="14"/>
      <c r="H4" s="14"/>
      <c r="I4" s="14"/>
      <c r="J4" s="14"/>
      <c r="K4" s="14"/>
    </row>
    <row r="7" customFormat="false" ht="15" hidden="false" customHeight="false" outlineLevel="0" collapsed="false">
      <c r="A7" s="7" t="s">
        <v>92</v>
      </c>
    </row>
    <row r="9" customFormat="false" ht="30" hidden="false" customHeight="true" outlineLevel="0" collapsed="false">
      <c r="A9" s="8" t="s">
        <v>18</v>
      </c>
      <c r="B9" s="8" t="s">
        <v>19</v>
      </c>
      <c r="C9" s="8" t="s">
        <v>20</v>
      </c>
      <c r="D9" s="8" t="s">
        <v>21</v>
      </c>
      <c r="E9" s="8" t="s">
        <v>22</v>
      </c>
      <c r="F9" s="8" t="s">
        <v>23</v>
      </c>
      <c r="G9" s="8" t="s">
        <v>24</v>
      </c>
      <c r="H9" s="8" t="s">
        <v>25</v>
      </c>
      <c r="I9" s="8" t="s">
        <v>26</v>
      </c>
      <c r="J9" s="8" t="s">
        <v>27</v>
      </c>
      <c r="K9" s="8" t="s">
        <v>56</v>
      </c>
    </row>
    <row r="10" customFormat="false" ht="15" hidden="false" customHeight="false" outlineLevel="0" collapsed="false">
      <c r="A10" s="15" t="n">
        <v>1</v>
      </c>
      <c r="B10" s="15" t="s">
        <v>93</v>
      </c>
      <c r="C10" s="16"/>
      <c r="D10" s="16"/>
      <c r="E10" s="17"/>
      <c r="F10" s="17"/>
      <c r="G10" s="15"/>
      <c r="H10" s="15"/>
      <c r="I10" s="17"/>
      <c r="J10" s="15"/>
      <c r="K10" s="10" t="str">
        <f aca="false">IF(AND(ISNUMBER(E10),E10&gt;0),(E10-F10)/E10,"")</f>
        <v/>
      </c>
    </row>
    <row r="11" customFormat="false" ht="15" hidden="false" customHeight="false" outlineLevel="0" collapsed="false">
      <c r="A11" s="15" t="n">
        <v>2</v>
      </c>
      <c r="B11" s="15" t="s">
        <v>94</v>
      </c>
      <c r="C11" s="16"/>
      <c r="D11" s="16"/>
      <c r="E11" s="17"/>
      <c r="F11" s="17"/>
      <c r="G11" s="15"/>
      <c r="H11" s="15"/>
      <c r="I11" s="17"/>
      <c r="J11" s="15"/>
      <c r="K11" s="10" t="str">
        <f aca="false">IF(AND(ISNUMBER(E11),E11&gt;0),(E11-F11)/E11,"")</f>
        <v/>
      </c>
    </row>
    <row r="12" customFormat="false" ht="15" hidden="false" customHeight="false" outlineLevel="0" collapsed="false">
      <c r="A12" s="15" t="n">
        <v>3</v>
      </c>
      <c r="B12" s="15" t="s">
        <v>95</v>
      </c>
      <c r="C12" s="16"/>
      <c r="D12" s="16"/>
      <c r="E12" s="17"/>
      <c r="F12" s="17"/>
      <c r="G12" s="15"/>
      <c r="H12" s="15"/>
      <c r="I12" s="17"/>
      <c r="J12" s="15"/>
      <c r="K12" s="10" t="str">
        <f aca="false">IF(AND(ISNUMBER(E12),E12&gt;0),(E12-F12)/E12,"")</f>
        <v/>
      </c>
    </row>
    <row r="13" customFormat="false" ht="15" hidden="false" customHeight="false" outlineLevel="0" collapsed="false">
      <c r="A13" s="3" t="s">
        <v>60</v>
      </c>
      <c r="E13" s="18" t="n">
        <f aca="false">SUM(E10:E12)</f>
        <v>0</v>
      </c>
      <c r="F13" s="18" t="n">
        <f aca="false">SUM(F10:F12)</f>
        <v>0</v>
      </c>
      <c r="G13" s="19" t="n">
        <f aca="false">SUM(G10:G12)</f>
        <v>0</v>
      </c>
      <c r="H13" s="19" t="n">
        <f aca="false">SUM(H10:H12)</f>
        <v>0</v>
      </c>
      <c r="I13" s="18" t="n">
        <f aca="false">SUM(I10:I12)</f>
        <v>0</v>
      </c>
      <c r="J13" s="20" t="str">
        <f aca="false">IF(COUNTA(J10:J12)=0,"",COUNTIF(J10:J12,"Sí")/COUNTA(J10:J12))</f>
        <v/>
      </c>
      <c r="K13" s="20" t="str">
        <f aca="false">IF(E13&gt;0,(E13-F13)/E13,"")</f>
        <v/>
      </c>
    </row>
    <row r="16" customFormat="false" ht="15" hidden="false" customHeight="false" outlineLevel="0" collapsed="false">
      <c r="A16" s="7" t="s">
        <v>61</v>
      </c>
    </row>
    <row r="17" customFormat="false" ht="15" hidden="false" customHeight="true" outlineLevel="0" collapsed="false">
      <c r="A17" s="8" t="s">
        <v>62</v>
      </c>
      <c r="B17" s="8" t="s">
        <v>63</v>
      </c>
      <c r="C17" s="8" t="s">
        <v>64</v>
      </c>
      <c r="D17" s="8"/>
      <c r="E17" s="8"/>
      <c r="F17" s="8"/>
      <c r="G17" s="8"/>
      <c r="H17" s="8"/>
      <c r="I17" s="8" t="s">
        <v>65</v>
      </c>
      <c r="J17" s="8" t="s">
        <v>66</v>
      </c>
      <c r="K17" s="8"/>
    </row>
    <row r="18" customFormat="false" ht="15" hidden="false" customHeight="false" outlineLevel="0" collapsed="false">
      <c r="A18" s="21" t="n">
        <v>1</v>
      </c>
      <c r="B18" s="15"/>
      <c r="C18" s="14"/>
      <c r="D18" s="14"/>
      <c r="E18" s="14"/>
      <c r="F18" s="14"/>
      <c r="G18" s="14"/>
      <c r="H18" s="14"/>
      <c r="I18" s="17"/>
      <c r="J18" s="14"/>
      <c r="K18" s="14"/>
    </row>
    <row r="19" customFormat="false" ht="15" hidden="false" customHeight="false" outlineLevel="0" collapsed="false">
      <c r="A19" s="21" t="n">
        <v>2</v>
      </c>
      <c r="B19" s="15"/>
      <c r="C19" s="14"/>
      <c r="D19" s="14"/>
      <c r="E19" s="14"/>
      <c r="F19" s="14"/>
      <c r="G19" s="14"/>
      <c r="H19" s="14"/>
      <c r="I19" s="17"/>
      <c r="J19" s="14"/>
      <c r="K19" s="14"/>
    </row>
    <row r="20" customFormat="false" ht="15" hidden="false" customHeight="false" outlineLevel="0" collapsed="false">
      <c r="A20" s="21" t="n">
        <v>3</v>
      </c>
      <c r="B20" s="15"/>
      <c r="C20" s="14"/>
      <c r="D20" s="14"/>
      <c r="E20" s="14"/>
      <c r="F20" s="14"/>
      <c r="G20" s="14"/>
      <c r="H20" s="14"/>
      <c r="I20" s="17"/>
      <c r="J20" s="14"/>
      <c r="K20" s="14"/>
    </row>
    <row r="21" customFormat="false" ht="15" hidden="false" customHeight="false" outlineLevel="0" collapsed="false">
      <c r="A21" s="21" t="n">
        <v>4</v>
      </c>
      <c r="B21" s="15"/>
      <c r="C21" s="14"/>
      <c r="D21" s="14"/>
      <c r="E21" s="14"/>
      <c r="F21" s="14"/>
      <c r="G21" s="14"/>
      <c r="H21" s="14"/>
      <c r="I21" s="17"/>
      <c r="J21" s="14"/>
      <c r="K21" s="14"/>
    </row>
    <row r="22" customFormat="false" ht="15" hidden="false" customHeight="false" outlineLevel="0" collapsed="false">
      <c r="A22" s="21" t="n">
        <v>5</v>
      </c>
      <c r="B22" s="15"/>
      <c r="C22" s="14"/>
      <c r="D22" s="14"/>
      <c r="E22" s="14"/>
      <c r="F22" s="14"/>
      <c r="G22" s="14"/>
      <c r="H22" s="14"/>
      <c r="I22" s="17"/>
      <c r="J22" s="14"/>
      <c r="K22" s="14"/>
    </row>
    <row r="23" customFormat="false" ht="15" hidden="false" customHeight="false" outlineLevel="0" collapsed="false">
      <c r="A23" s="21" t="n">
        <v>6</v>
      </c>
      <c r="B23" s="15"/>
      <c r="C23" s="14"/>
      <c r="D23" s="14"/>
      <c r="E23" s="14"/>
      <c r="F23" s="14"/>
      <c r="G23" s="14"/>
      <c r="H23" s="14"/>
      <c r="I23" s="17"/>
      <c r="J23" s="14"/>
      <c r="K23" s="14"/>
    </row>
    <row r="24" customFormat="false" ht="15" hidden="false" customHeight="false" outlineLevel="0" collapsed="false">
      <c r="A24" s="21" t="n">
        <v>7</v>
      </c>
      <c r="B24" s="15"/>
      <c r="C24" s="14"/>
      <c r="D24" s="14"/>
      <c r="E24" s="14"/>
      <c r="F24" s="14"/>
      <c r="G24" s="14"/>
      <c r="H24" s="14"/>
      <c r="I24" s="17"/>
      <c r="J24" s="14"/>
      <c r="K24" s="14"/>
    </row>
    <row r="25" customFormat="false" ht="15" hidden="false" customHeight="false" outlineLevel="0" collapsed="false">
      <c r="A25" s="21" t="n">
        <v>8</v>
      </c>
      <c r="B25" s="15"/>
      <c r="C25" s="14"/>
      <c r="D25" s="14"/>
      <c r="E25" s="14"/>
      <c r="F25" s="14"/>
      <c r="G25" s="14"/>
      <c r="H25" s="14"/>
      <c r="I25" s="17"/>
      <c r="J25" s="14"/>
      <c r="K25" s="14"/>
    </row>
    <row r="26" customFormat="false" ht="15" hidden="false" customHeight="false" outlineLevel="0" collapsed="false">
      <c r="H26" s="22" t="s">
        <v>60</v>
      </c>
      <c r="I26" s="18" t="n">
        <f aca="false">SUM(I18:I25)</f>
        <v>0</v>
      </c>
    </row>
    <row r="29" customFormat="false" ht="15" hidden="false" customHeight="false" outlineLevel="0" collapsed="false">
      <c r="A29" s="7" t="s">
        <v>67</v>
      </c>
    </row>
    <row r="30" customFormat="false" ht="30" hidden="false" customHeight="true" outlineLevel="0" collapsed="false">
      <c r="B30" s="8" t="s">
        <v>68</v>
      </c>
      <c r="C30" s="8" t="s">
        <v>69</v>
      </c>
      <c r="D30" s="8" t="s">
        <v>70</v>
      </c>
      <c r="E30" s="8" t="s">
        <v>71</v>
      </c>
      <c r="F30" s="8" t="s">
        <v>72</v>
      </c>
      <c r="G30" s="8"/>
      <c r="H30" s="8"/>
      <c r="I30" s="8"/>
      <c r="J30" s="8"/>
      <c r="K30" s="8"/>
    </row>
    <row r="31" customFormat="false" ht="15" hidden="false" customHeight="false" outlineLevel="0" collapsed="false">
      <c r="B31" s="16"/>
      <c r="C31" s="16"/>
      <c r="D31" s="23" t="str">
        <f aca="false">IF(AND(ISNUMBER(B31),ISNUMBER(C31)),ROUND((C31-B31)*1440,0),"")</f>
        <v/>
      </c>
      <c r="E31" s="24"/>
      <c r="F31" s="14"/>
      <c r="G31" s="14"/>
      <c r="H31" s="14"/>
      <c r="I31" s="14"/>
      <c r="J31" s="14"/>
      <c r="K31" s="14"/>
    </row>
    <row r="32" customFormat="false" ht="15" hidden="false" customHeight="false" outlineLevel="0" collapsed="false">
      <c r="B32" s="25" t="s">
        <v>73</v>
      </c>
    </row>
    <row r="35" customFormat="false" ht="15" hidden="false" customHeight="false" outlineLevel="0" collapsed="false">
      <c r="A35" s="7" t="s">
        <v>74</v>
      </c>
    </row>
    <row r="36" customFormat="false" ht="36" hidden="false" customHeight="true" outlineLevel="0" collapsed="false">
      <c r="A36" s="26" t="s">
        <v>75</v>
      </c>
      <c r="B36" s="26"/>
      <c r="C36" s="14"/>
      <c r="D36" s="14"/>
      <c r="E36" s="14"/>
      <c r="F36" s="14"/>
      <c r="G36" s="14"/>
      <c r="H36" s="14"/>
      <c r="I36" s="14"/>
      <c r="J36" s="14"/>
      <c r="K36" s="14"/>
    </row>
    <row r="37" customFormat="false" ht="36" hidden="false" customHeight="true" outlineLevel="0" collapsed="false">
      <c r="A37" s="26" t="s">
        <v>76</v>
      </c>
      <c r="B37" s="26"/>
      <c r="C37" s="14"/>
      <c r="D37" s="14"/>
      <c r="E37" s="14"/>
      <c r="F37" s="14"/>
      <c r="G37" s="14"/>
      <c r="H37" s="14"/>
      <c r="I37" s="14"/>
      <c r="J37" s="14"/>
      <c r="K37" s="14"/>
    </row>
    <row r="38" customFormat="false" ht="36" hidden="false" customHeight="true" outlineLevel="0" collapsed="false">
      <c r="A38" s="26" t="s">
        <v>77</v>
      </c>
      <c r="B38" s="26"/>
      <c r="C38" s="14"/>
      <c r="D38" s="14"/>
      <c r="E38" s="14"/>
      <c r="F38" s="14"/>
      <c r="G38" s="14"/>
      <c r="H38" s="14"/>
      <c r="I38" s="14"/>
      <c r="J38" s="14"/>
      <c r="K38" s="14"/>
    </row>
    <row r="39" customFormat="false" ht="36" hidden="false" customHeight="true" outlineLevel="0" collapsed="false">
      <c r="A39" s="26" t="s">
        <v>78</v>
      </c>
      <c r="B39" s="26"/>
      <c r="C39" s="14"/>
      <c r="D39" s="14"/>
      <c r="E39" s="14"/>
      <c r="F39" s="14"/>
      <c r="G39" s="14"/>
      <c r="H39" s="14"/>
      <c r="I39" s="14"/>
      <c r="J39" s="14"/>
      <c r="K39" s="14"/>
    </row>
    <row r="40" customFormat="false" ht="36" hidden="false" customHeight="true" outlineLevel="0" collapsed="false">
      <c r="A40" s="26" t="s">
        <v>79</v>
      </c>
      <c r="B40" s="26"/>
      <c r="C40" s="14"/>
      <c r="D40" s="14"/>
      <c r="E40" s="14"/>
      <c r="F40" s="14"/>
      <c r="G40" s="14"/>
      <c r="H40" s="14"/>
      <c r="I40" s="14"/>
      <c r="J40" s="14"/>
      <c r="K40" s="14"/>
    </row>
  </sheetData>
  <mergeCells count="32">
    <mergeCell ref="A4:B4"/>
    <mergeCell ref="C4:K4"/>
    <mergeCell ref="C17:H17"/>
    <mergeCell ref="J17:K17"/>
    <mergeCell ref="C18:H18"/>
    <mergeCell ref="J18:K18"/>
    <mergeCell ref="C19:H19"/>
    <mergeCell ref="J19:K19"/>
    <mergeCell ref="C20:H20"/>
    <mergeCell ref="J20:K20"/>
    <mergeCell ref="C21:H21"/>
    <mergeCell ref="J21:K21"/>
    <mergeCell ref="C22:H22"/>
    <mergeCell ref="J22:K22"/>
    <mergeCell ref="C23:H23"/>
    <mergeCell ref="J23:K23"/>
    <mergeCell ref="C24:H24"/>
    <mergeCell ref="J24:K24"/>
    <mergeCell ref="C25:H25"/>
    <mergeCell ref="J25:K25"/>
    <mergeCell ref="F30:K30"/>
    <mergeCell ref="F31:K31"/>
    <mergeCell ref="A36:B36"/>
    <mergeCell ref="C36:K36"/>
    <mergeCell ref="A37:B37"/>
    <mergeCell ref="C37:K37"/>
    <mergeCell ref="A38:B38"/>
    <mergeCell ref="C38:K38"/>
    <mergeCell ref="A39:B39"/>
    <mergeCell ref="C39:K39"/>
    <mergeCell ref="A40:B40"/>
    <mergeCell ref="C40:K40"/>
  </mergeCells>
  <dataValidations count="2">
    <dataValidation allowBlank="true" errorStyle="stop" operator="between" showDropDown="false" showErrorMessage="false" showInputMessage="false" sqref="J10:J12" type="list">
      <formula1>"Sí,No"</formula1>
      <formula2>0</formula2>
    </dataValidation>
    <dataValidation allowBlank="true" errorStyle="stop" operator="between" showDropDown="false" showErrorMessage="false" showInputMessage="false" sqref="B18:B25" type="list">
      <formula1>"Espera,Retrabajo / defecto,Trabajo parcialmente hecho,Cambio de tarea,Funcionalidad extra,Transferencia / traspaso,Demoras de proceso"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A29"/>
    <pageSetUpPr fitToPage="true"/>
  </sheetPr>
  <dimension ref="A1:K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6"/>
    <col collapsed="false" customWidth="true" hidden="false" outlineLevel="0" max="4" min="3" style="0" width="13"/>
    <col collapsed="false" customWidth="true" hidden="false" outlineLevel="0" max="6" min="5" style="0" width="11"/>
    <col collapsed="false" customWidth="true" hidden="false" outlineLevel="0" max="8" min="7" style="0" width="10"/>
    <col collapsed="false" customWidth="true" hidden="false" outlineLevel="0" max="9" min="9" style="0" width="12"/>
    <col collapsed="false" customWidth="true" hidden="false" outlineLevel="0" max="11" min="10" style="0" width="11"/>
  </cols>
  <sheetData>
    <row r="1" customFormat="false" ht="18.55" hidden="false" customHeight="false" outlineLevel="0" collapsed="false">
      <c r="A1" s="12" t="s">
        <v>96</v>
      </c>
    </row>
    <row r="2" customFormat="false" ht="15" hidden="false" customHeight="false" outlineLevel="0" collapsed="false">
      <c r="A2" s="2" t="s">
        <v>97</v>
      </c>
    </row>
    <row r="4" customFormat="false" ht="15" hidden="false" customHeight="false" outlineLevel="0" collapsed="false">
      <c r="A4" s="13" t="s">
        <v>54</v>
      </c>
      <c r="B4" s="13"/>
      <c r="C4" s="14"/>
      <c r="D4" s="14"/>
      <c r="E4" s="14"/>
      <c r="F4" s="14"/>
      <c r="G4" s="14"/>
      <c r="H4" s="14"/>
      <c r="I4" s="14"/>
      <c r="J4" s="14"/>
      <c r="K4" s="14"/>
    </row>
    <row r="7" customFormat="false" ht="15" hidden="false" customHeight="false" outlineLevel="0" collapsed="false">
      <c r="A7" s="7" t="s">
        <v>98</v>
      </c>
    </row>
    <row r="9" customFormat="false" ht="30" hidden="false" customHeight="true" outlineLevel="0" collapsed="false">
      <c r="A9" s="8" t="s">
        <v>18</v>
      </c>
      <c r="B9" s="8" t="s">
        <v>19</v>
      </c>
      <c r="C9" s="8" t="s">
        <v>20</v>
      </c>
      <c r="D9" s="8" t="s">
        <v>21</v>
      </c>
      <c r="E9" s="8" t="s">
        <v>22</v>
      </c>
      <c r="F9" s="8" t="s">
        <v>23</v>
      </c>
      <c r="G9" s="8" t="s">
        <v>24</v>
      </c>
      <c r="H9" s="8" t="s">
        <v>25</v>
      </c>
      <c r="I9" s="8" t="s">
        <v>26</v>
      </c>
      <c r="J9" s="8" t="s">
        <v>27</v>
      </c>
      <c r="K9" s="8" t="s">
        <v>56</v>
      </c>
    </row>
    <row r="10" customFormat="false" ht="15" hidden="false" customHeight="false" outlineLevel="0" collapsed="false">
      <c r="A10" s="15" t="n">
        <v>1</v>
      </c>
      <c r="B10" s="15" t="s">
        <v>99</v>
      </c>
      <c r="C10" s="16"/>
      <c r="D10" s="16"/>
      <c r="E10" s="17"/>
      <c r="F10" s="17"/>
      <c r="G10" s="15"/>
      <c r="H10" s="15"/>
      <c r="I10" s="17"/>
      <c r="J10" s="15"/>
      <c r="K10" s="10" t="str">
        <f aca="false">IF(AND(ISNUMBER(E10),E10&gt;0),(E10-F10)/E10,"")</f>
        <v/>
      </c>
    </row>
    <row r="11" customFormat="false" ht="15" hidden="false" customHeight="false" outlineLevel="0" collapsed="false">
      <c r="A11" s="15" t="n">
        <v>2</v>
      </c>
      <c r="B11" s="15" t="s">
        <v>100</v>
      </c>
      <c r="C11" s="16"/>
      <c r="D11" s="16"/>
      <c r="E11" s="17"/>
      <c r="F11" s="17"/>
      <c r="G11" s="15"/>
      <c r="H11" s="15"/>
      <c r="I11" s="17"/>
      <c r="J11" s="15"/>
      <c r="K11" s="10" t="str">
        <f aca="false">IF(AND(ISNUMBER(E11),E11&gt;0),(E11-F11)/E11,"")</f>
        <v/>
      </c>
    </row>
    <row r="12" customFormat="false" ht="15" hidden="false" customHeight="false" outlineLevel="0" collapsed="false">
      <c r="A12" s="15" t="n">
        <v>3</v>
      </c>
      <c r="B12" s="15" t="s">
        <v>101</v>
      </c>
      <c r="C12" s="16"/>
      <c r="D12" s="16"/>
      <c r="E12" s="17"/>
      <c r="F12" s="17"/>
      <c r="G12" s="15"/>
      <c r="H12" s="15"/>
      <c r="I12" s="17"/>
      <c r="J12" s="15"/>
      <c r="K12" s="10" t="str">
        <f aca="false">IF(AND(ISNUMBER(E12),E12&gt;0),(E12-F12)/E12,"")</f>
        <v/>
      </c>
    </row>
    <row r="13" customFormat="false" ht="15" hidden="false" customHeight="false" outlineLevel="0" collapsed="false">
      <c r="A13" s="3" t="s">
        <v>60</v>
      </c>
      <c r="E13" s="18" t="n">
        <f aca="false">SUM(E10:E12)</f>
        <v>0</v>
      </c>
      <c r="F13" s="18" t="n">
        <f aca="false">SUM(F10:F12)</f>
        <v>0</v>
      </c>
      <c r="G13" s="19" t="n">
        <f aca="false">SUM(G10:G12)</f>
        <v>0</v>
      </c>
      <c r="H13" s="19" t="n">
        <f aca="false">SUM(H10:H12)</f>
        <v>0</v>
      </c>
      <c r="I13" s="18" t="n">
        <f aca="false">SUM(I10:I12)</f>
        <v>0</v>
      </c>
      <c r="J13" s="20" t="str">
        <f aca="false">IF(COUNTA(J10:J12)=0,"",COUNTIF(J10:J12,"Sí")/COUNTA(J10:J12))</f>
        <v/>
      </c>
      <c r="K13" s="20" t="str">
        <f aca="false">IF(E13&gt;0,(E13-F13)/E13,"")</f>
        <v/>
      </c>
    </row>
    <row r="16" customFormat="false" ht="15" hidden="false" customHeight="false" outlineLevel="0" collapsed="false">
      <c r="A16" s="7" t="s">
        <v>61</v>
      </c>
    </row>
    <row r="17" customFormat="false" ht="15" hidden="false" customHeight="true" outlineLevel="0" collapsed="false">
      <c r="A17" s="8" t="s">
        <v>62</v>
      </c>
      <c r="B17" s="8" t="s">
        <v>63</v>
      </c>
      <c r="C17" s="8" t="s">
        <v>64</v>
      </c>
      <c r="D17" s="8"/>
      <c r="E17" s="8"/>
      <c r="F17" s="8"/>
      <c r="G17" s="8"/>
      <c r="H17" s="8"/>
      <c r="I17" s="8" t="s">
        <v>65</v>
      </c>
      <c r="J17" s="8" t="s">
        <v>66</v>
      </c>
      <c r="K17" s="8"/>
    </row>
    <row r="18" customFormat="false" ht="15" hidden="false" customHeight="false" outlineLevel="0" collapsed="false">
      <c r="A18" s="21" t="n">
        <v>1</v>
      </c>
      <c r="B18" s="15"/>
      <c r="C18" s="14"/>
      <c r="D18" s="14"/>
      <c r="E18" s="14"/>
      <c r="F18" s="14"/>
      <c r="G18" s="14"/>
      <c r="H18" s="14"/>
      <c r="I18" s="17"/>
      <c r="J18" s="14"/>
      <c r="K18" s="14"/>
    </row>
    <row r="19" customFormat="false" ht="15" hidden="false" customHeight="false" outlineLevel="0" collapsed="false">
      <c r="A19" s="21" t="n">
        <v>2</v>
      </c>
      <c r="B19" s="15"/>
      <c r="C19" s="14"/>
      <c r="D19" s="14"/>
      <c r="E19" s="14"/>
      <c r="F19" s="14"/>
      <c r="G19" s="14"/>
      <c r="H19" s="14"/>
      <c r="I19" s="17"/>
      <c r="J19" s="14"/>
      <c r="K19" s="14"/>
    </row>
    <row r="20" customFormat="false" ht="15" hidden="false" customHeight="false" outlineLevel="0" collapsed="false">
      <c r="A20" s="21" t="n">
        <v>3</v>
      </c>
      <c r="B20" s="15"/>
      <c r="C20" s="14"/>
      <c r="D20" s="14"/>
      <c r="E20" s="14"/>
      <c r="F20" s="14"/>
      <c r="G20" s="14"/>
      <c r="H20" s="14"/>
      <c r="I20" s="17"/>
      <c r="J20" s="14"/>
      <c r="K20" s="14"/>
    </row>
    <row r="21" customFormat="false" ht="15" hidden="false" customHeight="false" outlineLevel="0" collapsed="false">
      <c r="A21" s="21" t="n">
        <v>4</v>
      </c>
      <c r="B21" s="15"/>
      <c r="C21" s="14"/>
      <c r="D21" s="14"/>
      <c r="E21" s="14"/>
      <c r="F21" s="14"/>
      <c r="G21" s="14"/>
      <c r="H21" s="14"/>
      <c r="I21" s="17"/>
      <c r="J21" s="14"/>
      <c r="K21" s="14"/>
    </row>
    <row r="22" customFormat="false" ht="15" hidden="false" customHeight="false" outlineLevel="0" collapsed="false">
      <c r="A22" s="21" t="n">
        <v>5</v>
      </c>
      <c r="B22" s="15"/>
      <c r="C22" s="14"/>
      <c r="D22" s="14"/>
      <c r="E22" s="14"/>
      <c r="F22" s="14"/>
      <c r="G22" s="14"/>
      <c r="H22" s="14"/>
      <c r="I22" s="17"/>
      <c r="J22" s="14"/>
      <c r="K22" s="14"/>
    </row>
    <row r="23" customFormat="false" ht="15" hidden="false" customHeight="false" outlineLevel="0" collapsed="false">
      <c r="A23" s="21" t="n">
        <v>6</v>
      </c>
      <c r="B23" s="15"/>
      <c r="C23" s="14"/>
      <c r="D23" s="14"/>
      <c r="E23" s="14"/>
      <c r="F23" s="14"/>
      <c r="G23" s="14"/>
      <c r="H23" s="14"/>
      <c r="I23" s="17"/>
      <c r="J23" s="14"/>
      <c r="K23" s="14"/>
    </row>
    <row r="24" customFormat="false" ht="15" hidden="false" customHeight="false" outlineLevel="0" collapsed="false">
      <c r="A24" s="21" t="n">
        <v>7</v>
      </c>
      <c r="B24" s="15"/>
      <c r="C24" s="14"/>
      <c r="D24" s="14"/>
      <c r="E24" s="14"/>
      <c r="F24" s="14"/>
      <c r="G24" s="14"/>
      <c r="H24" s="14"/>
      <c r="I24" s="17"/>
      <c r="J24" s="14"/>
      <c r="K24" s="14"/>
    </row>
    <row r="25" customFormat="false" ht="15" hidden="false" customHeight="false" outlineLevel="0" collapsed="false">
      <c r="A25" s="21" t="n">
        <v>8</v>
      </c>
      <c r="B25" s="15"/>
      <c r="C25" s="14"/>
      <c r="D25" s="14"/>
      <c r="E25" s="14"/>
      <c r="F25" s="14"/>
      <c r="G25" s="14"/>
      <c r="H25" s="14"/>
      <c r="I25" s="17"/>
      <c r="J25" s="14"/>
      <c r="K25" s="14"/>
    </row>
    <row r="26" customFormat="false" ht="15" hidden="false" customHeight="false" outlineLevel="0" collapsed="false">
      <c r="H26" s="22" t="s">
        <v>60</v>
      </c>
      <c r="I26" s="18" t="n">
        <f aca="false">SUM(I18:I25)</f>
        <v>0</v>
      </c>
    </row>
    <row r="29" customFormat="false" ht="15" hidden="false" customHeight="false" outlineLevel="0" collapsed="false">
      <c r="A29" s="7" t="s">
        <v>67</v>
      </c>
    </row>
    <row r="30" customFormat="false" ht="30" hidden="false" customHeight="true" outlineLevel="0" collapsed="false">
      <c r="B30" s="8" t="s">
        <v>68</v>
      </c>
      <c r="C30" s="8" t="s">
        <v>69</v>
      </c>
      <c r="D30" s="8" t="s">
        <v>70</v>
      </c>
      <c r="E30" s="8" t="s">
        <v>71</v>
      </c>
      <c r="F30" s="8" t="s">
        <v>72</v>
      </c>
      <c r="G30" s="8"/>
      <c r="H30" s="8"/>
      <c r="I30" s="8"/>
      <c r="J30" s="8"/>
      <c r="K30" s="8"/>
    </row>
    <row r="31" customFormat="false" ht="15" hidden="false" customHeight="false" outlineLevel="0" collapsed="false">
      <c r="B31" s="16"/>
      <c r="C31" s="16"/>
      <c r="D31" s="23" t="str">
        <f aca="false">IF(AND(ISNUMBER(B31),ISNUMBER(C31)),ROUND((C31-B31)*1440,0),"")</f>
        <v/>
      </c>
      <c r="E31" s="24"/>
      <c r="F31" s="14"/>
      <c r="G31" s="14"/>
      <c r="H31" s="14"/>
      <c r="I31" s="14"/>
      <c r="J31" s="14"/>
      <c r="K31" s="14"/>
    </row>
    <row r="32" customFormat="false" ht="15" hidden="false" customHeight="false" outlineLevel="0" collapsed="false">
      <c r="B32" s="25" t="s">
        <v>73</v>
      </c>
    </row>
    <row r="35" customFormat="false" ht="15" hidden="false" customHeight="false" outlineLevel="0" collapsed="false">
      <c r="A35" s="7" t="s">
        <v>74</v>
      </c>
    </row>
    <row r="36" customFormat="false" ht="36" hidden="false" customHeight="true" outlineLevel="0" collapsed="false">
      <c r="A36" s="26" t="s">
        <v>75</v>
      </c>
      <c r="B36" s="26"/>
      <c r="C36" s="14"/>
      <c r="D36" s="14"/>
      <c r="E36" s="14"/>
      <c r="F36" s="14"/>
      <c r="G36" s="14"/>
      <c r="H36" s="14"/>
      <c r="I36" s="14"/>
      <c r="J36" s="14"/>
      <c r="K36" s="14"/>
    </row>
    <row r="37" customFormat="false" ht="36" hidden="false" customHeight="true" outlineLevel="0" collapsed="false">
      <c r="A37" s="26" t="s">
        <v>76</v>
      </c>
      <c r="B37" s="26"/>
      <c r="C37" s="14"/>
      <c r="D37" s="14"/>
      <c r="E37" s="14"/>
      <c r="F37" s="14"/>
      <c r="G37" s="14"/>
      <c r="H37" s="14"/>
      <c r="I37" s="14"/>
      <c r="J37" s="14"/>
      <c r="K37" s="14"/>
    </row>
    <row r="38" customFormat="false" ht="36" hidden="false" customHeight="true" outlineLevel="0" collapsed="false">
      <c r="A38" s="26" t="s">
        <v>77</v>
      </c>
      <c r="B38" s="26"/>
      <c r="C38" s="14"/>
      <c r="D38" s="14"/>
      <c r="E38" s="14"/>
      <c r="F38" s="14"/>
      <c r="G38" s="14"/>
      <c r="H38" s="14"/>
      <c r="I38" s="14"/>
      <c r="J38" s="14"/>
      <c r="K38" s="14"/>
    </row>
    <row r="39" customFormat="false" ht="36" hidden="false" customHeight="true" outlineLevel="0" collapsed="false">
      <c r="A39" s="26" t="s">
        <v>78</v>
      </c>
      <c r="B39" s="26"/>
      <c r="C39" s="14"/>
      <c r="D39" s="14"/>
      <c r="E39" s="14"/>
      <c r="F39" s="14"/>
      <c r="G39" s="14"/>
      <c r="H39" s="14"/>
      <c r="I39" s="14"/>
      <c r="J39" s="14"/>
      <c r="K39" s="14"/>
    </row>
    <row r="40" customFormat="false" ht="36" hidden="false" customHeight="true" outlineLevel="0" collapsed="false">
      <c r="A40" s="26" t="s">
        <v>79</v>
      </c>
      <c r="B40" s="26"/>
      <c r="C40" s="14"/>
      <c r="D40" s="14"/>
      <c r="E40" s="14"/>
      <c r="F40" s="14"/>
      <c r="G40" s="14"/>
      <c r="H40" s="14"/>
      <c r="I40" s="14"/>
      <c r="J40" s="14"/>
      <c r="K40" s="14"/>
    </row>
  </sheetData>
  <mergeCells count="32">
    <mergeCell ref="A4:B4"/>
    <mergeCell ref="C4:K4"/>
    <mergeCell ref="C17:H17"/>
    <mergeCell ref="J17:K17"/>
    <mergeCell ref="C18:H18"/>
    <mergeCell ref="J18:K18"/>
    <mergeCell ref="C19:H19"/>
    <mergeCell ref="J19:K19"/>
    <mergeCell ref="C20:H20"/>
    <mergeCell ref="J20:K20"/>
    <mergeCell ref="C21:H21"/>
    <mergeCell ref="J21:K21"/>
    <mergeCell ref="C22:H22"/>
    <mergeCell ref="J22:K22"/>
    <mergeCell ref="C23:H23"/>
    <mergeCell ref="J23:K23"/>
    <mergeCell ref="C24:H24"/>
    <mergeCell ref="J24:K24"/>
    <mergeCell ref="C25:H25"/>
    <mergeCell ref="J25:K25"/>
    <mergeCell ref="F30:K30"/>
    <mergeCell ref="F31:K31"/>
    <mergeCell ref="A36:B36"/>
    <mergeCell ref="C36:K36"/>
    <mergeCell ref="A37:B37"/>
    <mergeCell ref="C37:K37"/>
    <mergeCell ref="A38:B38"/>
    <mergeCell ref="C38:K38"/>
    <mergeCell ref="A39:B39"/>
    <mergeCell ref="C39:K39"/>
    <mergeCell ref="A40:B40"/>
    <mergeCell ref="C40:K40"/>
  </mergeCells>
  <dataValidations count="2">
    <dataValidation allowBlank="true" errorStyle="stop" operator="between" showDropDown="false" showErrorMessage="false" showInputMessage="false" sqref="J10:J12" type="list">
      <formula1>"Sí,No"</formula1>
      <formula2>0</formula2>
    </dataValidation>
    <dataValidation allowBlank="true" errorStyle="stop" operator="between" showDropDown="false" showErrorMessage="false" showInputMessage="false" sqref="B18:B25" type="list">
      <formula1>"Espera,Retrabajo / defecto,Trabajo parcialmente hecho,Cambio de tarea,Funcionalidad extra,Transferencia / traspaso,Demoras de proceso"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A29"/>
    <pageSetUpPr fitToPage="true"/>
  </sheetPr>
  <dimension ref="A1:K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6"/>
    <col collapsed="false" customWidth="true" hidden="false" outlineLevel="0" max="4" min="3" style="0" width="13"/>
    <col collapsed="false" customWidth="true" hidden="false" outlineLevel="0" max="6" min="5" style="0" width="11"/>
    <col collapsed="false" customWidth="true" hidden="false" outlineLevel="0" max="8" min="7" style="0" width="10"/>
    <col collapsed="false" customWidth="true" hidden="false" outlineLevel="0" max="9" min="9" style="0" width="12"/>
    <col collapsed="false" customWidth="true" hidden="false" outlineLevel="0" max="11" min="10" style="0" width="11"/>
  </cols>
  <sheetData>
    <row r="1" customFormat="false" ht="18.55" hidden="false" customHeight="false" outlineLevel="0" collapsed="false">
      <c r="A1" s="12" t="s">
        <v>102</v>
      </c>
    </row>
    <row r="2" customFormat="false" ht="15" hidden="false" customHeight="false" outlineLevel="0" collapsed="false">
      <c r="A2" s="2" t="s">
        <v>103</v>
      </c>
    </row>
    <row r="4" customFormat="false" ht="15" hidden="false" customHeight="false" outlineLevel="0" collapsed="false">
      <c r="A4" s="13" t="s">
        <v>54</v>
      </c>
      <c r="B4" s="13"/>
      <c r="C4" s="14"/>
      <c r="D4" s="14"/>
      <c r="E4" s="14"/>
      <c r="F4" s="14"/>
      <c r="G4" s="14"/>
      <c r="H4" s="14"/>
      <c r="I4" s="14"/>
      <c r="J4" s="14"/>
      <c r="K4" s="14"/>
    </row>
    <row r="7" customFormat="false" ht="15" hidden="false" customHeight="false" outlineLevel="0" collapsed="false">
      <c r="A7" s="7" t="s">
        <v>104</v>
      </c>
    </row>
    <row r="9" customFormat="false" ht="30" hidden="false" customHeight="true" outlineLevel="0" collapsed="false">
      <c r="A9" s="8" t="s">
        <v>18</v>
      </c>
      <c r="B9" s="8" t="s">
        <v>19</v>
      </c>
      <c r="C9" s="8" t="s">
        <v>20</v>
      </c>
      <c r="D9" s="8" t="s">
        <v>21</v>
      </c>
      <c r="E9" s="8" t="s">
        <v>22</v>
      </c>
      <c r="F9" s="8" t="s">
        <v>23</v>
      </c>
      <c r="G9" s="8" t="s">
        <v>24</v>
      </c>
      <c r="H9" s="8" t="s">
        <v>25</v>
      </c>
      <c r="I9" s="8" t="s">
        <v>26</v>
      </c>
      <c r="J9" s="8" t="s">
        <v>27</v>
      </c>
      <c r="K9" s="8" t="s">
        <v>56</v>
      </c>
    </row>
    <row r="10" customFormat="false" ht="15" hidden="false" customHeight="false" outlineLevel="0" collapsed="false">
      <c r="A10" s="15" t="n">
        <v>1</v>
      </c>
      <c r="B10" s="15" t="s">
        <v>105</v>
      </c>
      <c r="C10" s="16"/>
      <c r="D10" s="16"/>
      <c r="E10" s="17"/>
      <c r="F10" s="17"/>
      <c r="G10" s="15"/>
      <c r="H10" s="15"/>
      <c r="I10" s="17"/>
      <c r="J10" s="15"/>
      <c r="K10" s="10" t="str">
        <f aca="false">IF(AND(ISNUMBER(E10),E10&gt;0),(E10-F10)/E10,"")</f>
        <v/>
      </c>
    </row>
    <row r="11" customFormat="false" ht="15" hidden="false" customHeight="false" outlineLevel="0" collapsed="false">
      <c r="A11" s="15" t="n">
        <v>2</v>
      </c>
      <c r="B11" s="15" t="s">
        <v>106</v>
      </c>
      <c r="C11" s="16"/>
      <c r="D11" s="16"/>
      <c r="E11" s="17"/>
      <c r="F11" s="17"/>
      <c r="G11" s="15"/>
      <c r="H11" s="15"/>
      <c r="I11" s="17"/>
      <c r="J11" s="15"/>
      <c r="K11" s="10" t="str">
        <f aca="false">IF(AND(ISNUMBER(E11),E11&gt;0),(E11-F11)/E11,"")</f>
        <v/>
      </c>
    </row>
    <row r="12" customFormat="false" ht="15" hidden="false" customHeight="false" outlineLevel="0" collapsed="false">
      <c r="A12" s="15" t="n">
        <v>3</v>
      </c>
      <c r="B12" s="15" t="s">
        <v>107</v>
      </c>
      <c r="C12" s="16"/>
      <c r="D12" s="16"/>
      <c r="E12" s="17"/>
      <c r="F12" s="17"/>
      <c r="G12" s="15"/>
      <c r="H12" s="15"/>
      <c r="I12" s="17"/>
      <c r="J12" s="15"/>
      <c r="K12" s="10" t="str">
        <f aca="false">IF(AND(ISNUMBER(E12),E12&gt;0),(E12-F12)/E12,"")</f>
        <v/>
      </c>
    </row>
    <row r="13" customFormat="false" ht="15" hidden="false" customHeight="false" outlineLevel="0" collapsed="false">
      <c r="A13" s="3" t="s">
        <v>60</v>
      </c>
      <c r="E13" s="18" t="n">
        <f aca="false">SUM(E10:E12)</f>
        <v>0</v>
      </c>
      <c r="F13" s="18" t="n">
        <f aca="false">SUM(F10:F12)</f>
        <v>0</v>
      </c>
      <c r="G13" s="19" t="n">
        <f aca="false">SUM(G10:G12)</f>
        <v>0</v>
      </c>
      <c r="H13" s="19" t="n">
        <f aca="false">SUM(H10:H12)</f>
        <v>0</v>
      </c>
      <c r="I13" s="18" t="n">
        <f aca="false">SUM(I10:I12)</f>
        <v>0</v>
      </c>
      <c r="J13" s="20" t="str">
        <f aca="false">IF(COUNTA(J10:J12)=0,"",COUNTIF(J10:J12,"Sí")/COUNTA(J10:J12))</f>
        <v/>
      </c>
      <c r="K13" s="20" t="str">
        <f aca="false">IF(E13&gt;0,(E13-F13)/E13,"")</f>
        <v/>
      </c>
    </row>
    <row r="16" customFormat="false" ht="15" hidden="false" customHeight="false" outlineLevel="0" collapsed="false">
      <c r="A16" s="7" t="s">
        <v>61</v>
      </c>
    </row>
    <row r="17" customFormat="false" ht="15" hidden="false" customHeight="true" outlineLevel="0" collapsed="false">
      <c r="A17" s="8" t="s">
        <v>62</v>
      </c>
      <c r="B17" s="8" t="s">
        <v>63</v>
      </c>
      <c r="C17" s="8" t="s">
        <v>64</v>
      </c>
      <c r="D17" s="8"/>
      <c r="E17" s="8"/>
      <c r="F17" s="8"/>
      <c r="G17" s="8"/>
      <c r="H17" s="8"/>
      <c r="I17" s="8" t="s">
        <v>65</v>
      </c>
      <c r="J17" s="8" t="s">
        <v>66</v>
      </c>
      <c r="K17" s="8"/>
    </row>
    <row r="18" customFormat="false" ht="15" hidden="false" customHeight="false" outlineLevel="0" collapsed="false">
      <c r="A18" s="21" t="n">
        <v>1</v>
      </c>
      <c r="B18" s="15"/>
      <c r="C18" s="14"/>
      <c r="D18" s="14"/>
      <c r="E18" s="14"/>
      <c r="F18" s="14"/>
      <c r="G18" s="14"/>
      <c r="H18" s="14"/>
      <c r="I18" s="17"/>
      <c r="J18" s="14"/>
      <c r="K18" s="14"/>
    </row>
    <row r="19" customFormat="false" ht="15" hidden="false" customHeight="false" outlineLevel="0" collapsed="false">
      <c r="A19" s="21" t="n">
        <v>2</v>
      </c>
      <c r="B19" s="15"/>
      <c r="C19" s="14"/>
      <c r="D19" s="14"/>
      <c r="E19" s="14"/>
      <c r="F19" s="14"/>
      <c r="G19" s="14"/>
      <c r="H19" s="14"/>
      <c r="I19" s="17"/>
      <c r="J19" s="14"/>
      <c r="K19" s="14"/>
    </row>
    <row r="20" customFormat="false" ht="15" hidden="false" customHeight="false" outlineLevel="0" collapsed="false">
      <c r="A20" s="21" t="n">
        <v>3</v>
      </c>
      <c r="B20" s="15"/>
      <c r="C20" s="14"/>
      <c r="D20" s="14"/>
      <c r="E20" s="14"/>
      <c r="F20" s="14"/>
      <c r="G20" s="14"/>
      <c r="H20" s="14"/>
      <c r="I20" s="17"/>
      <c r="J20" s="14"/>
      <c r="K20" s="14"/>
    </row>
    <row r="21" customFormat="false" ht="15" hidden="false" customHeight="false" outlineLevel="0" collapsed="false">
      <c r="A21" s="21" t="n">
        <v>4</v>
      </c>
      <c r="B21" s="15"/>
      <c r="C21" s="14"/>
      <c r="D21" s="14"/>
      <c r="E21" s="14"/>
      <c r="F21" s="14"/>
      <c r="G21" s="14"/>
      <c r="H21" s="14"/>
      <c r="I21" s="17"/>
      <c r="J21" s="14"/>
      <c r="K21" s="14"/>
    </row>
    <row r="22" customFormat="false" ht="15" hidden="false" customHeight="false" outlineLevel="0" collapsed="false">
      <c r="A22" s="21" t="n">
        <v>5</v>
      </c>
      <c r="B22" s="15"/>
      <c r="C22" s="14"/>
      <c r="D22" s="14"/>
      <c r="E22" s="14"/>
      <c r="F22" s="14"/>
      <c r="G22" s="14"/>
      <c r="H22" s="14"/>
      <c r="I22" s="17"/>
      <c r="J22" s="14"/>
      <c r="K22" s="14"/>
    </row>
    <row r="23" customFormat="false" ht="15" hidden="false" customHeight="false" outlineLevel="0" collapsed="false">
      <c r="A23" s="21" t="n">
        <v>6</v>
      </c>
      <c r="B23" s="15"/>
      <c r="C23" s="14"/>
      <c r="D23" s="14"/>
      <c r="E23" s="14"/>
      <c r="F23" s="14"/>
      <c r="G23" s="14"/>
      <c r="H23" s="14"/>
      <c r="I23" s="17"/>
      <c r="J23" s="14"/>
      <c r="K23" s="14"/>
    </row>
    <row r="24" customFormat="false" ht="15" hidden="false" customHeight="false" outlineLevel="0" collapsed="false">
      <c r="A24" s="21" t="n">
        <v>7</v>
      </c>
      <c r="B24" s="15"/>
      <c r="C24" s="14"/>
      <c r="D24" s="14"/>
      <c r="E24" s="14"/>
      <c r="F24" s="14"/>
      <c r="G24" s="14"/>
      <c r="H24" s="14"/>
      <c r="I24" s="17"/>
      <c r="J24" s="14"/>
      <c r="K24" s="14"/>
    </row>
    <row r="25" customFormat="false" ht="15" hidden="false" customHeight="false" outlineLevel="0" collapsed="false">
      <c r="A25" s="21" t="n">
        <v>8</v>
      </c>
      <c r="B25" s="15"/>
      <c r="C25" s="14"/>
      <c r="D25" s="14"/>
      <c r="E25" s="14"/>
      <c r="F25" s="14"/>
      <c r="G25" s="14"/>
      <c r="H25" s="14"/>
      <c r="I25" s="17"/>
      <c r="J25" s="14"/>
      <c r="K25" s="14"/>
    </row>
    <row r="26" customFormat="false" ht="15" hidden="false" customHeight="false" outlineLevel="0" collapsed="false">
      <c r="H26" s="22" t="s">
        <v>60</v>
      </c>
      <c r="I26" s="18" t="n">
        <f aca="false">SUM(I18:I25)</f>
        <v>0</v>
      </c>
    </row>
    <row r="29" customFormat="false" ht="15" hidden="false" customHeight="false" outlineLevel="0" collapsed="false">
      <c r="A29" s="7" t="s">
        <v>67</v>
      </c>
    </row>
    <row r="30" customFormat="false" ht="30" hidden="false" customHeight="true" outlineLevel="0" collapsed="false">
      <c r="B30" s="8" t="s">
        <v>68</v>
      </c>
      <c r="C30" s="8" t="s">
        <v>69</v>
      </c>
      <c r="D30" s="8" t="s">
        <v>70</v>
      </c>
      <c r="E30" s="8" t="s">
        <v>71</v>
      </c>
      <c r="F30" s="8" t="s">
        <v>72</v>
      </c>
      <c r="G30" s="8"/>
      <c r="H30" s="8"/>
      <c r="I30" s="8"/>
      <c r="J30" s="8"/>
      <c r="K30" s="8"/>
    </row>
    <row r="31" customFormat="false" ht="15" hidden="false" customHeight="false" outlineLevel="0" collapsed="false">
      <c r="B31" s="16"/>
      <c r="C31" s="16"/>
      <c r="D31" s="23" t="str">
        <f aca="false">IF(AND(ISNUMBER(B31),ISNUMBER(C31)),ROUND((C31-B31)*1440,0),"")</f>
        <v/>
      </c>
      <c r="E31" s="24"/>
      <c r="F31" s="14"/>
      <c r="G31" s="14"/>
      <c r="H31" s="14"/>
      <c r="I31" s="14"/>
      <c r="J31" s="14"/>
      <c r="K31" s="14"/>
    </row>
    <row r="32" customFormat="false" ht="15" hidden="false" customHeight="false" outlineLevel="0" collapsed="false">
      <c r="B32" s="25" t="s">
        <v>73</v>
      </c>
    </row>
    <row r="35" customFormat="false" ht="15" hidden="false" customHeight="false" outlineLevel="0" collapsed="false">
      <c r="A35" s="7" t="s">
        <v>74</v>
      </c>
    </row>
    <row r="36" customFormat="false" ht="36" hidden="false" customHeight="true" outlineLevel="0" collapsed="false">
      <c r="A36" s="26" t="s">
        <v>75</v>
      </c>
      <c r="B36" s="26"/>
      <c r="C36" s="14"/>
      <c r="D36" s="14"/>
      <c r="E36" s="14"/>
      <c r="F36" s="14"/>
      <c r="G36" s="14"/>
      <c r="H36" s="14"/>
      <c r="I36" s="14"/>
      <c r="J36" s="14"/>
      <c r="K36" s="14"/>
    </row>
    <row r="37" customFormat="false" ht="36" hidden="false" customHeight="true" outlineLevel="0" collapsed="false">
      <c r="A37" s="26" t="s">
        <v>76</v>
      </c>
      <c r="B37" s="26"/>
      <c r="C37" s="14"/>
      <c r="D37" s="14"/>
      <c r="E37" s="14"/>
      <c r="F37" s="14"/>
      <c r="G37" s="14"/>
      <c r="H37" s="14"/>
      <c r="I37" s="14"/>
      <c r="J37" s="14"/>
      <c r="K37" s="14"/>
    </row>
    <row r="38" customFormat="false" ht="36" hidden="false" customHeight="true" outlineLevel="0" collapsed="false">
      <c r="A38" s="26" t="s">
        <v>77</v>
      </c>
      <c r="B38" s="26"/>
      <c r="C38" s="14"/>
      <c r="D38" s="14"/>
      <c r="E38" s="14"/>
      <c r="F38" s="14"/>
      <c r="G38" s="14"/>
      <c r="H38" s="14"/>
      <c r="I38" s="14"/>
      <c r="J38" s="14"/>
      <c r="K38" s="14"/>
    </row>
    <row r="39" customFormat="false" ht="36" hidden="false" customHeight="true" outlineLevel="0" collapsed="false">
      <c r="A39" s="26" t="s">
        <v>78</v>
      </c>
      <c r="B39" s="26"/>
      <c r="C39" s="14"/>
      <c r="D39" s="14"/>
      <c r="E39" s="14"/>
      <c r="F39" s="14"/>
      <c r="G39" s="14"/>
      <c r="H39" s="14"/>
      <c r="I39" s="14"/>
      <c r="J39" s="14"/>
      <c r="K39" s="14"/>
    </row>
    <row r="40" customFormat="false" ht="36" hidden="false" customHeight="true" outlineLevel="0" collapsed="false">
      <c r="A40" s="26" t="s">
        <v>79</v>
      </c>
      <c r="B40" s="26"/>
      <c r="C40" s="14"/>
      <c r="D40" s="14"/>
      <c r="E40" s="14"/>
      <c r="F40" s="14"/>
      <c r="G40" s="14"/>
      <c r="H40" s="14"/>
      <c r="I40" s="14"/>
      <c r="J40" s="14"/>
      <c r="K40" s="14"/>
    </row>
  </sheetData>
  <mergeCells count="32">
    <mergeCell ref="A4:B4"/>
    <mergeCell ref="C4:K4"/>
    <mergeCell ref="C17:H17"/>
    <mergeCell ref="J17:K17"/>
    <mergeCell ref="C18:H18"/>
    <mergeCell ref="J18:K18"/>
    <mergeCell ref="C19:H19"/>
    <mergeCell ref="J19:K19"/>
    <mergeCell ref="C20:H20"/>
    <mergeCell ref="J20:K20"/>
    <mergeCell ref="C21:H21"/>
    <mergeCell ref="J21:K21"/>
    <mergeCell ref="C22:H22"/>
    <mergeCell ref="J22:K22"/>
    <mergeCell ref="C23:H23"/>
    <mergeCell ref="J23:K23"/>
    <mergeCell ref="C24:H24"/>
    <mergeCell ref="J24:K24"/>
    <mergeCell ref="C25:H25"/>
    <mergeCell ref="J25:K25"/>
    <mergeCell ref="F30:K30"/>
    <mergeCell ref="F31:K31"/>
    <mergeCell ref="A36:B36"/>
    <mergeCell ref="C36:K36"/>
    <mergeCell ref="A37:B37"/>
    <mergeCell ref="C37:K37"/>
    <mergeCell ref="A38:B38"/>
    <mergeCell ref="C38:K38"/>
    <mergeCell ref="A39:B39"/>
    <mergeCell ref="C39:K39"/>
    <mergeCell ref="A40:B40"/>
    <mergeCell ref="C40:K40"/>
  </mergeCells>
  <dataValidations count="2">
    <dataValidation allowBlank="true" errorStyle="stop" operator="between" showDropDown="false" showErrorMessage="false" showInputMessage="false" sqref="J10:J12" type="list">
      <formula1>"Sí,No"</formula1>
      <formula2>0</formula2>
    </dataValidation>
    <dataValidation allowBlank="true" errorStyle="stop" operator="between" showDropDown="false" showErrorMessage="false" showInputMessage="false" sqref="B18:B25" type="list">
      <formula1>"Espera,Retrabajo / defecto,Trabajo parcialmente hecho,Cambio de tarea,Funcionalidad extra,Transferencia / traspaso,Demoras de proceso"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27E"/>
    <pageSetUpPr fitToPage="true"/>
  </sheetPr>
  <dimension ref="A1:M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3"/>
    <col collapsed="false" customWidth="true" hidden="false" outlineLevel="0" max="3" min="3" style="0" width="6"/>
    <col collapsed="false" customWidth="true" hidden="false" outlineLevel="0" max="4" min="4" style="0" width="12"/>
    <col collapsed="false" customWidth="true" hidden="false" outlineLevel="0" max="6" min="5" style="0" width="11"/>
    <col collapsed="false" customWidth="true" hidden="false" outlineLevel="0" max="7" min="7" style="0" width="10"/>
    <col collapsed="false" customWidth="true" hidden="false" outlineLevel="0" max="10" min="8" style="0" width="11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3"/>
  </cols>
  <sheetData>
    <row r="1" customFormat="false" ht="18.55" hidden="false" customHeight="false" outlineLevel="0" collapsed="false">
      <c r="A1" s="12" t="s">
        <v>108</v>
      </c>
    </row>
    <row r="2" customFormat="false" ht="15" hidden="false" customHeight="false" outlineLevel="0" collapsed="false">
      <c r="A2" s="2" t="s">
        <v>109</v>
      </c>
    </row>
    <row r="4" customFormat="false" ht="42" hidden="false" customHeight="true" outlineLevel="0" collapsed="false">
      <c r="A4" s="8" t="s">
        <v>110</v>
      </c>
      <c r="B4" s="8" t="s">
        <v>111</v>
      </c>
      <c r="C4" s="8" t="s">
        <v>112</v>
      </c>
      <c r="D4" s="8" t="s">
        <v>113</v>
      </c>
      <c r="E4" s="8" t="s">
        <v>114</v>
      </c>
      <c r="F4" s="8" t="s">
        <v>115</v>
      </c>
      <c r="G4" s="8" t="s">
        <v>23</v>
      </c>
      <c r="H4" s="8" t="s">
        <v>56</v>
      </c>
      <c r="I4" s="8" t="s">
        <v>116</v>
      </c>
      <c r="J4" s="8" t="s">
        <v>117</v>
      </c>
      <c r="K4" s="8" t="s">
        <v>118</v>
      </c>
      <c r="L4" s="8" t="s">
        <v>119</v>
      </c>
      <c r="M4" s="8" t="s">
        <v>120</v>
      </c>
    </row>
    <row r="5" customFormat="false" ht="15" hidden="false" customHeight="false" outlineLevel="0" collapsed="false">
      <c r="A5" s="27" t="n">
        <v>1</v>
      </c>
      <c r="B5" s="27" t="s">
        <v>121</v>
      </c>
      <c r="C5" s="27" t="n">
        <v>1</v>
      </c>
      <c r="D5" s="23" t="n">
        <f aca="false">COUNT('Equipo 1'!E10:E12)</f>
        <v>0</v>
      </c>
      <c r="E5" s="28" t="n">
        <f aca="false">'Equipo 1'!E13</f>
        <v>0</v>
      </c>
      <c r="F5" s="28" t="str">
        <f aca="false">IF(D5&gt;0,E5/D5,"")</f>
        <v/>
      </c>
      <c r="G5" s="28" t="n">
        <f aca="false">'Equipo 1'!F13</f>
        <v>0</v>
      </c>
      <c r="H5" s="10" t="str">
        <f aca="false">IF(E5&gt;0,(E5-G5)/E5,"")</f>
        <v/>
      </c>
      <c r="I5" s="23" t="n">
        <f aca="false">'Equipo 1'!H13</f>
        <v>0</v>
      </c>
      <c r="J5" s="23" t="n">
        <f aca="false">IF(ISNUMBER('Equipo 1'!E31),'Equipo 1'!E31,0)</f>
        <v>0</v>
      </c>
      <c r="K5" s="10" t="str">
        <f aca="false">'Equipo 1'!J13</f>
        <v/>
      </c>
      <c r="L5" s="28" t="n">
        <f aca="false">'Equipo 1'!I26</f>
        <v>0</v>
      </c>
      <c r="M5" s="23" t="str">
        <f aca="false">'Equipo 1'!D31</f>
        <v/>
      </c>
    </row>
    <row r="6" customFormat="false" ht="15" hidden="false" customHeight="false" outlineLevel="0" collapsed="false">
      <c r="A6" s="27" t="n">
        <v>2</v>
      </c>
      <c r="B6" s="27" t="s">
        <v>122</v>
      </c>
      <c r="C6" s="27" t="n">
        <v>1</v>
      </c>
      <c r="D6" s="23" t="n">
        <f aca="false">COUNT('Equipo 2'!E10:E12)</f>
        <v>0</v>
      </c>
      <c r="E6" s="28" t="n">
        <f aca="false">'Equipo 2'!E13</f>
        <v>0</v>
      </c>
      <c r="F6" s="28" t="str">
        <f aca="false">IF(D6&gt;0,E6/D6,"")</f>
        <v/>
      </c>
      <c r="G6" s="28" t="n">
        <f aca="false">'Equipo 2'!F13</f>
        <v>0</v>
      </c>
      <c r="H6" s="10" t="str">
        <f aca="false">IF(E6&gt;0,(E6-G6)/E6,"")</f>
        <v/>
      </c>
      <c r="I6" s="23" t="n">
        <f aca="false">'Equipo 2'!H13</f>
        <v>0</v>
      </c>
      <c r="J6" s="23" t="n">
        <f aca="false">IF(ISNUMBER('Equipo 2'!E31),'Equipo 2'!E31,0)</f>
        <v>0</v>
      </c>
      <c r="K6" s="10" t="str">
        <f aca="false">'Equipo 2'!J13</f>
        <v/>
      </c>
      <c r="L6" s="28" t="n">
        <f aca="false">'Equipo 2'!I26</f>
        <v>0</v>
      </c>
      <c r="M6" s="23" t="str">
        <f aca="false">'Equipo 2'!D31</f>
        <v/>
      </c>
    </row>
    <row r="7" customFormat="false" ht="15" hidden="false" customHeight="false" outlineLevel="0" collapsed="false">
      <c r="A7" s="27" t="n">
        <v>3</v>
      </c>
      <c r="B7" s="27" t="s">
        <v>123</v>
      </c>
      <c r="C7" s="27" t="n">
        <v>1</v>
      </c>
      <c r="D7" s="23" t="n">
        <f aca="false">COUNT('Equipo 3'!E10:E12)</f>
        <v>0</v>
      </c>
      <c r="E7" s="28" t="n">
        <f aca="false">'Equipo 3'!E13</f>
        <v>0</v>
      </c>
      <c r="F7" s="28" t="str">
        <f aca="false">IF(D7&gt;0,E7/D7,"")</f>
        <v/>
      </c>
      <c r="G7" s="28" t="n">
        <f aca="false">'Equipo 3'!F13</f>
        <v>0</v>
      </c>
      <c r="H7" s="10" t="str">
        <f aca="false">IF(E7&gt;0,(E7-G7)/E7,"")</f>
        <v/>
      </c>
      <c r="I7" s="23" t="n">
        <f aca="false">'Equipo 3'!H13</f>
        <v>0</v>
      </c>
      <c r="J7" s="23" t="n">
        <f aca="false">IF(ISNUMBER('Equipo 3'!E31),'Equipo 3'!E31,0)</f>
        <v>0</v>
      </c>
      <c r="K7" s="10" t="str">
        <f aca="false">'Equipo 3'!J13</f>
        <v/>
      </c>
      <c r="L7" s="28" t="n">
        <f aca="false">'Equipo 3'!I26</f>
        <v>0</v>
      </c>
      <c r="M7" s="23" t="str">
        <f aca="false">'Equipo 3'!D31</f>
        <v/>
      </c>
    </row>
    <row r="8" customFormat="false" ht="15" hidden="false" customHeight="false" outlineLevel="0" collapsed="false">
      <c r="A8" s="27" t="n">
        <v>4</v>
      </c>
      <c r="B8" s="27" t="s">
        <v>124</v>
      </c>
      <c r="C8" s="27" t="n">
        <v>2</v>
      </c>
      <c r="D8" s="23" t="n">
        <f aca="false">COUNT('Equipo 4'!E10:E12)</f>
        <v>0</v>
      </c>
      <c r="E8" s="28" t="n">
        <f aca="false">'Equipo 4'!E13</f>
        <v>0</v>
      </c>
      <c r="F8" s="28" t="str">
        <f aca="false">IF(D8&gt;0,E8/D8,"")</f>
        <v/>
      </c>
      <c r="G8" s="28" t="n">
        <f aca="false">'Equipo 4'!F13</f>
        <v>0</v>
      </c>
      <c r="H8" s="10" t="str">
        <f aca="false">IF(E8&gt;0,(E8-G8)/E8,"")</f>
        <v/>
      </c>
      <c r="I8" s="23" t="n">
        <f aca="false">'Equipo 4'!H13</f>
        <v>0</v>
      </c>
      <c r="J8" s="23" t="n">
        <f aca="false">IF(ISNUMBER('Equipo 4'!E31),'Equipo 4'!E31,0)</f>
        <v>0</v>
      </c>
      <c r="K8" s="10" t="str">
        <f aca="false">'Equipo 4'!J13</f>
        <v/>
      </c>
      <c r="L8" s="28" t="n">
        <f aca="false">'Equipo 4'!I26</f>
        <v>0</v>
      </c>
      <c r="M8" s="23" t="str">
        <f aca="false">'Equipo 4'!D31</f>
        <v/>
      </c>
    </row>
    <row r="9" customFormat="false" ht="15" hidden="false" customHeight="false" outlineLevel="0" collapsed="false">
      <c r="A9" s="27" t="n">
        <v>5</v>
      </c>
      <c r="B9" s="27" t="s">
        <v>125</v>
      </c>
      <c r="C9" s="27" t="n">
        <v>2</v>
      </c>
      <c r="D9" s="23" t="n">
        <f aca="false">COUNT('Equipo 5'!E10:E12)</f>
        <v>0</v>
      </c>
      <c r="E9" s="28" t="n">
        <f aca="false">'Equipo 5'!E13</f>
        <v>0</v>
      </c>
      <c r="F9" s="28" t="str">
        <f aca="false">IF(D9&gt;0,E9/D9,"")</f>
        <v/>
      </c>
      <c r="G9" s="28" t="n">
        <f aca="false">'Equipo 5'!F13</f>
        <v>0</v>
      </c>
      <c r="H9" s="10" t="str">
        <f aca="false">IF(E9&gt;0,(E9-G9)/E9,"")</f>
        <v/>
      </c>
      <c r="I9" s="23" t="n">
        <f aca="false">'Equipo 5'!H13</f>
        <v>0</v>
      </c>
      <c r="J9" s="23" t="n">
        <f aca="false">IF(ISNUMBER('Equipo 5'!E31),'Equipo 5'!E31,0)</f>
        <v>0</v>
      </c>
      <c r="K9" s="10" t="str">
        <f aca="false">'Equipo 5'!J13</f>
        <v/>
      </c>
      <c r="L9" s="28" t="n">
        <f aca="false">'Equipo 5'!I26</f>
        <v>0</v>
      </c>
      <c r="M9" s="23" t="str">
        <f aca="false">'Equipo 5'!D31</f>
        <v/>
      </c>
    </row>
    <row r="10" customFormat="false" ht="15" hidden="false" customHeight="false" outlineLevel="0" collapsed="false">
      <c r="A10" s="27" t="n">
        <v>6</v>
      </c>
      <c r="B10" s="27" t="s">
        <v>126</v>
      </c>
      <c r="C10" s="27" t="n">
        <v>2</v>
      </c>
      <c r="D10" s="23" t="n">
        <f aca="false">COUNT('Equipo 6'!E10:E12)</f>
        <v>0</v>
      </c>
      <c r="E10" s="28" t="n">
        <f aca="false">'Equipo 6'!E13</f>
        <v>0</v>
      </c>
      <c r="F10" s="28" t="str">
        <f aca="false">IF(D10&gt;0,E10/D10,"")</f>
        <v/>
      </c>
      <c r="G10" s="28" t="n">
        <f aca="false">'Equipo 6'!F13</f>
        <v>0</v>
      </c>
      <c r="H10" s="10" t="str">
        <f aca="false">IF(E10&gt;0,(E10-G10)/E10,"")</f>
        <v/>
      </c>
      <c r="I10" s="23" t="n">
        <f aca="false">'Equipo 6'!H13</f>
        <v>0</v>
      </c>
      <c r="J10" s="23" t="n">
        <f aca="false">IF(ISNUMBER('Equipo 6'!E31),'Equipo 6'!E31,0)</f>
        <v>0</v>
      </c>
      <c r="K10" s="10" t="str">
        <f aca="false">'Equipo 6'!J13</f>
        <v/>
      </c>
      <c r="L10" s="28" t="n">
        <f aca="false">'Equipo 6'!I26</f>
        <v>0</v>
      </c>
      <c r="M10" s="23" t="str">
        <f aca="false">'Equipo 6'!D31</f>
        <v/>
      </c>
    </row>
    <row r="13" customFormat="false" ht="15" hidden="false" customHeight="false" outlineLevel="0" collapsed="false">
      <c r="A13" s="7" t="s">
        <v>127</v>
      </c>
    </row>
    <row r="14" customFormat="false" ht="42" hidden="false" customHeight="true" outlineLevel="0" collapsed="false">
      <c r="A14" s="8" t="s">
        <v>112</v>
      </c>
      <c r="D14" s="8" t="s">
        <v>113</v>
      </c>
      <c r="E14" s="8" t="s">
        <v>114</v>
      </c>
      <c r="F14" s="8" t="s">
        <v>128</v>
      </c>
      <c r="G14" s="8" t="s">
        <v>23</v>
      </c>
      <c r="H14" s="8" t="s">
        <v>56</v>
      </c>
      <c r="I14" s="8" t="s">
        <v>116</v>
      </c>
      <c r="J14" s="8" t="s">
        <v>117</v>
      </c>
      <c r="K14" s="8" t="s">
        <v>129</v>
      </c>
      <c r="L14" s="8" t="s">
        <v>119</v>
      </c>
    </row>
    <row r="15" customFormat="false" ht="15" hidden="false" customHeight="false" outlineLevel="0" collapsed="false">
      <c r="A15" s="27" t="n">
        <v>1</v>
      </c>
      <c r="D15" s="19" t="n">
        <f aca="false">SUMIF($C$5:$C$10,$A15,$D5:$D10)</f>
        <v>0</v>
      </c>
      <c r="E15" s="18" t="n">
        <f aca="false">SUMIF($C$5:$C$10,$A15,$E5:$E10)</f>
        <v>0</v>
      </c>
      <c r="F15" s="18" t="str">
        <f aca="false">IF(D15&gt;0,E15/D15,"")</f>
        <v/>
      </c>
      <c r="G15" s="18" t="n">
        <f aca="false">SUMIF($C$5:$C$10,$A15,$G5:$G10)</f>
        <v>0</v>
      </c>
      <c r="H15" s="20" t="str">
        <f aca="false">IF(E15&gt;0,(E15-G15)/E15,"")</f>
        <v/>
      </c>
      <c r="I15" s="19" t="n">
        <f aca="false">SUMIF($C$5:$C$10,$A15,$I5:$I10)</f>
        <v>0</v>
      </c>
      <c r="J15" s="19" t="n">
        <f aca="false">SUMIF($C$5:$C$10,$A15,$J5:$J10)</f>
        <v>0</v>
      </c>
      <c r="K15" s="29" t="str">
        <f aca="false">IF(D15&gt;0,(I15+J15)/D15,"")</f>
        <v/>
      </c>
      <c r="L15" s="18" t="n">
        <f aca="false">SUMIF($C$5:$C$10,$A15,$L5:$L10)</f>
        <v>0</v>
      </c>
    </row>
    <row r="16" customFormat="false" ht="15" hidden="false" customHeight="false" outlineLevel="0" collapsed="false">
      <c r="A16" s="27" t="n">
        <v>2</v>
      </c>
      <c r="D16" s="19" t="n">
        <f aca="false">SUMIF($C$5:$C$10,$A16,$D5:$D10)</f>
        <v>0</v>
      </c>
      <c r="E16" s="18" t="n">
        <f aca="false">SUMIF($C$5:$C$10,$A16,$E5:$E10)</f>
        <v>0</v>
      </c>
      <c r="F16" s="18" t="str">
        <f aca="false">IF(D16&gt;0,E16/D16,"")</f>
        <v/>
      </c>
      <c r="G16" s="18" t="n">
        <f aca="false">SUMIF($C$5:$C$10,$A16,$G5:$G10)</f>
        <v>0</v>
      </c>
      <c r="H16" s="20" t="str">
        <f aca="false">IF(E16&gt;0,(E16-G16)/E16,"")</f>
        <v/>
      </c>
      <c r="I16" s="19" t="n">
        <f aca="false">SUMIF($C$5:$C$10,$A16,$I5:$I10)</f>
        <v>0</v>
      </c>
      <c r="J16" s="19" t="n">
        <f aca="false">SUMIF($C$5:$C$10,$A16,$J5:$J10)</f>
        <v>0</v>
      </c>
      <c r="K16" s="29" t="str">
        <f aca="false">IF(D16&gt;0,(I16+J16)/D16,"")</f>
        <v/>
      </c>
      <c r="L16" s="18" t="n">
        <f aca="false">SUMIF($C$5:$C$10,$A16,$L5:$L10)</f>
        <v>0</v>
      </c>
    </row>
    <row r="18" customFormat="false" ht="15" hidden="false" customHeight="false" outlineLevel="0" collapsed="false">
      <c r="A18" s="3" t="s">
        <v>130</v>
      </c>
    </row>
    <row r="19" customFormat="false" ht="15" hidden="false" customHeight="false" outlineLevel="0" collapsed="false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</row>
    <row r="20" customFormat="false" ht="15" hidden="false" customHeight="false" outlineLevel="0" collapsed="false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</row>
    <row r="21" customFormat="false" ht="15" hidden="false" customHeight="false" outlineLevel="0" collapsed="false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</row>
    <row r="22" customFormat="false" ht="15" hidden="false" customHeight="false" outlineLevel="0" collapsed="false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</row>
  </sheetData>
  <mergeCells count="1">
    <mergeCell ref="A19:M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2026-10-28T02:19:52Z</dcterms:created>
  <dc:creator>openpyxl</dc:creator>
  <dc:description/>
  <dc:language>en-US</dc:language>
  <cp:lastModifiedBy/>
  <dcterms:modified xsi:type="dcterms:W3CDTF">2026-10-28T02:19:52Z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