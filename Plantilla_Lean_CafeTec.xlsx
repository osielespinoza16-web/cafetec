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Flujo" sheetId="2" state="visible" r:id="rId4"/>
    <sheet name="Desperdicios" sheetId="3" state="visible" r:id="rId5"/>
    <sheet name="Revisiones" sheetId="4" state="visible" r:id="rId6"/>
    <sheet name="Retrospectiva" sheetId="5" state="visible" r:id="rId7"/>
    <sheet name="Resultad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1" authorId="0">
      <text>
        <r>
          <rPr>
            <sz val="10"/>
            <rFont val="Arial"/>
            <family val="2"/>
          </rPr>
          <t xml:space="preserve">Supuesto: 3 actividades en ~35 min de programación ≈ 12 min cada una. Ajústenlo si el profe pide otra meta.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Equipo 1: pega aquí (Ctrl+V) el contenido de registro/metricas_usuarios.txt</t>
        </r>
      </text>
    </comment>
    <comment ref="D8" authorId="0">
      <text>
        <r>
          <rPr>
            <sz val="10"/>
            <rFont val="Arial"/>
            <family val="2"/>
          </rPr>
          <t xml:space="preserve">Equipo 2: pega aquí (Ctrl+V) el contenido de registro/metricas_catalogo.txt</t>
        </r>
      </text>
    </comment>
    <comment ref="D11" authorId="0">
      <text>
        <r>
          <rPr>
            <sz val="10"/>
            <rFont val="Arial"/>
            <family val="2"/>
          </rPr>
          <t xml:space="preserve">Equipo 3: pega aquí (Ctrl+V) el contenido de registro/metricas_pedidos.txt</t>
        </r>
      </text>
    </comment>
    <comment ref="D14" authorId="0">
      <text>
        <r>
          <rPr>
            <sz val="10"/>
            <rFont val="Arial"/>
            <family val="2"/>
          </rPr>
          <t xml:space="preserve">Equipo 4: pega aquí (Ctrl+V) el contenido de registro/metricas_caja.txt</t>
        </r>
      </text>
    </comment>
    <comment ref="D17" authorId="0">
      <text>
        <r>
          <rPr>
            <sz val="10"/>
            <rFont val="Arial"/>
            <family val="2"/>
          </rPr>
          <t xml:space="preserve">Equipo 5: pega aquí (Ctrl+V) el contenido de registro/metricas_inventario.txt</t>
        </r>
      </text>
    </comment>
    <comment ref="D20" authorId="0">
      <text>
        <r>
          <rPr>
            <sz val="10"/>
            <rFont val="Arial"/>
            <family val="2"/>
          </rPr>
          <t xml:space="preserve">Equipo 6: pega aquí (Ctrl+V) el contenido de registro/metricas_reportes.txt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1" authorId="0">
      <text>
        <r>
          <rPr>
            <sz val="10"/>
            <rFont val="Arial"/>
            <family val="2"/>
          </rPr>
          <t xml:space="preserve">En la fila Grupo, la espera de revisión es el promedio por PR.</t>
        </r>
      </text>
    </comment>
  </commentList>
</comments>
</file>

<file path=xl/sharedStrings.xml><?xml version="1.0" encoding="utf-8"?>
<sst xmlns="http://schemas.openxmlformats.org/spreadsheetml/2006/main" count="256" uniqueCount="140">
  <si>
    <t xml:space="preserve">CafeTec · Bitácora Lean</t>
  </si>
  <si>
    <t xml:space="preserve">Lean Software Development · los 6 equipos programan en la misma sesión; el equipo organizador revisa</t>
  </si>
  <si>
    <t xml:space="preserve">Cómo se llena</t>
  </si>
  <si>
    <t xml:space="preserve">Los 7 desperdicios</t>
  </si>
  <si>
    <t xml:space="preserve">ANTES</t>
  </si>
  <si>
    <t xml:space="preserve">Cada equipo escribe su developer e integrantes en la tabla de abajo.</t>
  </si>
  <si>
    <t xml:space="preserve">Espera</t>
  </si>
  <si>
    <t xml:space="preserve">DURANTE</t>
  </si>
  <si>
    <t xml:space="preserve">El encargado de flujo anota desperdicios con python probar.py --desperdicio. Esperas, retrabajo y cambios de tarea se registran solos.</t>
  </si>
  <si>
    <t xml:space="preserve">Detenidos esperando a alguien o algo</t>
  </si>
  <si>
    <t xml:space="preserve">AL CERRAR EL PR</t>
  </si>
  <si>
    <t xml:space="preserve">El equipo organizador revisa el PR y anota horas y cambios pedidos en la hoja Revisiones.</t>
  </si>
  <si>
    <t xml:space="preserve">Retrabajo / defecto</t>
  </si>
  <si>
    <t xml:space="preserve">AL FINAL</t>
  </si>
  <si>
    <t xml:space="preserve">python probar.py --metricas &lt;modulo&gt;: pegar metricas_&lt;modulo&gt;.txt en Flujo (celda ◀) y desperdicios_&lt;modulo&gt;.txt en Desperdicios.</t>
  </si>
  <si>
    <t xml:space="preserve">Corregir lo que ya estaba "terminado"</t>
  </si>
  <si>
    <t xml:space="preserve">RETRO</t>
  </si>
  <si>
    <t xml:space="preserve">Cada equipo responde su fila en Retrospectiva. La hoja Resultados se calcula sola.</t>
  </si>
  <si>
    <t xml:space="preserve">Trabajo parcialmente hecho</t>
  </si>
  <si>
    <t xml:space="preserve">Algo empezado y sin cerrar</t>
  </si>
  <si>
    <t xml:space="preserve">Equipos</t>
  </si>
  <si>
    <t xml:space="preserve">Cambio de tarea</t>
  </si>
  <si>
    <t xml:space="preserve">Equipo</t>
  </si>
  <si>
    <t xml:space="preserve">Módulo</t>
  </si>
  <si>
    <t xml:space="preserve">Developer</t>
  </si>
  <si>
    <t xml:space="preserve">Integrantes</t>
  </si>
  <si>
    <t xml:space="preserve">Lo revisa</t>
  </si>
  <si>
    <t xml:space="preserve">Saltar entre actividades</t>
  </si>
  <si>
    <t xml:space="preserve">Equipo 1</t>
  </si>
  <si>
    <t xml:space="preserve">Usuarios</t>
  </si>
  <si>
    <t xml:space="preserve">Organizador</t>
  </si>
  <si>
    <t xml:space="preserve">Funcionalidad extra</t>
  </si>
  <si>
    <t xml:space="preserve">Equipo 2</t>
  </si>
  <si>
    <t xml:space="preserve">Catálogo</t>
  </si>
  <si>
    <t xml:space="preserve">Programar lo que no se pidió</t>
  </si>
  <si>
    <t xml:space="preserve">Equipo 3</t>
  </si>
  <si>
    <t xml:space="preserve">Pedidos</t>
  </si>
  <si>
    <t xml:space="preserve">Transferencia / traspaso</t>
  </si>
  <si>
    <t xml:space="preserve">Equipo 4</t>
  </si>
  <si>
    <t xml:space="preserve">Caja</t>
  </si>
  <si>
    <t xml:space="preserve">Información perdida entre personas</t>
  </si>
  <si>
    <t xml:space="preserve">Equipo 5</t>
  </si>
  <si>
    <t xml:space="preserve">Inventario</t>
  </si>
  <si>
    <t xml:space="preserve">Demoras de proceso</t>
  </si>
  <si>
    <t xml:space="preserve">Equipo 6</t>
  </si>
  <si>
    <t xml:space="preserve">Reportes</t>
  </si>
  <si>
    <t xml:space="preserve">Pasos que no agregan valor</t>
  </si>
  <si>
    <t xml:space="preserve">Meta y leyenda</t>
  </si>
  <si>
    <t xml:space="preserve">Meta de lead time por actividad (min)</t>
  </si>
  <si>
    <t xml:space="preserve">Texto azul en fondo blanco</t>
  </si>
  <si>
    <t xml:space="preserve">Lo llenan ustedes</t>
  </si>
  <si>
    <t xml:space="preserve">Fondo arena</t>
  </si>
  <si>
    <t xml:space="preserve">Se calcula solo; no se edita</t>
  </si>
  <si>
    <t xml:space="preserve">Fondo durazno</t>
  </si>
  <si>
    <t xml:space="preserve">Dato fijo de la actividad</t>
  </si>
  <si>
    <t xml:space="preserve">Flujo de trabajo</t>
  </si>
  <si>
    <t xml:space="preserve">Pega aquí la salida de python probar.py --metricas &lt;modulo&gt;, empezando en la celda ◀ de tu equipo (columna Act.)</t>
  </si>
  <si>
    <t xml:space="preserve">Revisa</t>
  </si>
  <si>
    <t xml:space="preserve">Act.</t>
  </si>
  <si>
    <t xml:space="preserve">Función</t>
  </si>
  <si>
    <t xml:space="preserve">Inicio</t>
  </si>
  <si>
    <t xml:space="preserve">Fin</t>
  </si>
  <si>
    <t xml:space="preserve">Lead (min)</t>
  </si>
  <si>
    <t xml:space="preserve">Espera (min)</t>
  </si>
  <si>
    <t xml:space="preserve">Corridas</t>
  </si>
  <si>
    <t xml:space="preserve">Defectos</t>
  </si>
  <si>
    <t xml:space="preserve">Min corrigiendo</t>
  </si>
  <si>
    <t xml:space="preserve">¿Bien a la 1a?</t>
  </si>
  <si>
    <t xml:space="preserve">Tiempo de valor</t>
  </si>
  <si>
    <t xml:space="preserve">Eficiencia de flujo</t>
  </si>
  <si>
    <t xml:space="preserve">Semáforo</t>
  </si>
  <si>
    <t xml:space="preserve">◀ 1</t>
  </si>
  <si>
    <t xml:space="preserve">listar_usuarios</t>
  </si>
  <si>
    <t xml:space="preserve">registrar_usuario</t>
  </si>
  <si>
    <t xml:space="preserve">cambiar_estado_usuario</t>
  </si>
  <si>
    <t xml:space="preserve">listar_menu</t>
  </si>
  <si>
    <t xml:space="preserve">agregar_producto</t>
  </si>
  <si>
    <t xml:space="preserve">cambiar_precio</t>
  </si>
  <si>
    <t xml:space="preserve">crear_pedido</t>
  </si>
  <si>
    <t xml:space="preserve">listar_pedidos</t>
  </si>
  <si>
    <t xml:space="preserve">cambiar_estado_pedido</t>
  </si>
  <si>
    <t xml:space="preserve">calcular_total</t>
  </si>
  <si>
    <t xml:space="preserve">cobrar_pedido</t>
  </si>
  <si>
    <t xml:space="preserve">corte_de_caja</t>
  </si>
  <si>
    <t xml:space="preserve">registrar_entrada</t>
  </si>
  <si>
    <t xml:space="preserve">descontar_pedido</t>
  </si>
  <si>
    <t xml:space="preserve">productos_stock_bajo</t>
  </si>
  <si>
    <t xml:space="preserve">ventas_del_dia</t>
  </si>
  <si>
    <t xml:space="preserve">productos_mas_vendidos</t>
  </si>
  <si>
    <t xml:space="preserve">resumen_por_estado</t>
  </si>
  <si>
    <t xml:space="preserve">◀ marca la celda donde cada equipo pega. Al pegar, el número 1 reemplaza el símbolo; es normal.</t>
  </si>
  <si>
    <t xml:space="preserve">Registro de desperdicios</t>
  </si>
  <si>
    <t xml:space="preserve">Cada equipo pega aquí registro/desperdicios_&lt;modulo&gt;.txt en la primera fila libre (columna Act.) y escribe la contramedida</t>
  </si>
  <si>
    <t xml:space="preserve">#</t>
  </si>
  <si>
    <t xml:space="preserve">Tipo de desperdicio</t>
  </si>
  <si>
    <t xml:space="preserve">¿Qué pasó?</t>
  </si>
  <si>
    <t xml:space="preserve">Min perdidos</t>
  </si>
  <si>
    <t xml:space="preserve">Contramedida (cómo evitarlo)</t>
  </si>
  <si>
    <t xml:space="preserve">Lo detectó</t>
  </si>
  <si>
    <t xml:space="preserve">Total de minutos perdidos</t>
  </si>
  <si>
    <t xml:space="preserve">Revisión de Pull Requests</t>
  </si>
  <si>
    <t xml:space="preserve">El equipo organizador revisa los 6 PR. Un renglón por equipo; se llena al aprobar (formato de hora 10:42)</t>
  </si>
  <si>
    <t xml:space="preserve">Equipo autor</t>
  </si>
  <si>
    <t xml:space="preserve">Revisó (nombre)</t>
  </si>
  <si>
    <t xml:space="preserve">PR #</t>
  </si>
  <si>
    <t xml:space="preserve">Abierto</t>
  </si>
  <si>
    <t xml:space="preserve">Aprobado</t>
  </si>
  <si>
    <t xml:space="preserve">Espera de revisión (min)</t>
  </si>
  <si>
    <t xml:space="preserve">Cambios pedidos</t>
  </si>
  <si>
    <t xml:space="preserve">Qué pidieron corregir</t>
  </si>
  <si>
    <t xml:space="preserve">Cada cambio pedido cuenta como un defecto encontrado en revisión. Si muchos PR esperan al mismo tiempo, esa cola es desperdicio: repártanse la revisión.</t>
  </si>
  <si>
    <t xml:space="preserve">Retrospectiva y mejora continua</t>
  </si>
  <si>
    <t xml:space="preserve">Respondan con datos de Flujo, Desperdicios, Revisiones y Resultados</t>
  </si>
  <si>
    <t xml:space="preserve">¿Qué funcionó bien?</t>
  </si>
  <si>
    <t xml:space="preserve">Mayor desperdicio (con minutos)</t>
  </si>
  <si>
    <t xml:space="preserve">Mejora que proponemos</t>
  </si>
  <si>
    <t xml:space="preserve">¿La actividad 3 salió mejor que la 1? (lead y defectos)</t>
  </si>
  <si>
    <t xml:space="preserve">Mejora que el grupo propone para la próxima vez</t>
  </si>
  <si>
    <t xml:space="preserve">Conclusión: ¿qué nos dicen los datos? (equipos, actividad 1 contra 3, desperdicio y espera de revisión)</t>
  </si>
  <si>
    <t xml:space="preserve">Resultados del grupo</t>
  </si>
  <si>
    <t xml:space="preserve">Todo se calcula solo a partir de las otras hojas</t>
  </si>
  <si>
    <t xml:space="preserve">Terminadas</t>
  </si>
  <si>
    <t xml:space="preserve">Lead total (min)</t>
  </si>
  <si>
    <t xml:space="preserve">Lead prom. (min)</t>
  </si>
  <si>
    <t xml:space="preserve">Eficiencia</t>
  </si>
  <si>
    <t xml:space="preserve">Defectos en pruebas</t>
  </si>
  <si>
    <t xml:space="preserve">Defectos en revisión</t>
  </si>
  <si>
    <t xml:space="preserve">Bien a la 1a</t>
  </si>
  <si>
    <t xml:space="preserve">Min desperdicio</t>
  </si>
  <si>
    <t xml:space="preserve">Espera revisión (min)</t>
  </si>
  <si>
    <t xml:space="preserve">Grupo</t>
  </si>
  <si>
    <t xml:space="preserve">Actividad 1 contra actividad 3 (curva de aprendizaje)</t>
  </si>
  <si>
    <t xml:space="preserve">Actividad</t>
  </si>
  <si>
    <t xml:space="preserve">Defectos por actividad</t>
  </si>
  <si>
    <t xml:space="preserve">% bien a la 1a</t>
  </si>
  <si>
    <t xml:space="preserve">Si la actividad 3 tiene menor lead promedio y menos defectos que la 1, el grupo aprendió durante la sesión (amplificar el aprendizaje).</t>
  </si>
  <si>
    <t xml:space="preserve">Minutos de desperdicio por tipo</t>
  </si>
  <si>
    <t xml:space="preserve">Tipo</t>
  </si>
  <si>
    <t xml:space="preserve">Minutos</t>
  </si>
  <si>
    <t xml:space="preserve">Registros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</si>
</sst>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"/>
    <numFmt numFmtId="167" formatCode="0.0"/>
    <numFmt numFmtId="168" formatCode="0%"/>
    <numFmt numFmtId="169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BE3CF"/>
      <name val="Arial"/>
      <family val="0"/>
      <charset val="1"/>
    </font>
    <font>
      <b val="true"/>
      <sz val="13"/>
      <color rgb="FFB546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A2C20"/>
      <name val="Arial"/>
      <family val="0"/>
      <charset val="1"/>
    </font>
    <font>
      <b val="true"/>
      <sz val="10"/>
      <color rgb="FF7A2E1C"/>
      <name val="Arial"/>
      <family val="0"/>
      <charset val="1"/>
    </font>
    <font>
      <sz val="9"/>
      <color rgb="FF8A6F6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A2C20"/>
      <name val="Arial"/>
      <family val="0"/>
      <charset val="1"/>
    </font>
    <font>
      <sz val="10"/>
      <color rgb="FF1F3FA8"/>
      <name val="Arial"/>
      <family val="0"/>
      <charset val="1"/>
    </font>
    <font>
      <b val="true"/>
      <sz val="11"/>
      <color rgb="FF1F3FA8"/>
      <name val="Arial"/>
      <family val="0"/>
      <charset val="1"/>
    </font>
    <font>
      <sz val="10"/>
      <name val="Arial"/>
      <family val="2"/>
    </font>
    <font>
      <b val="true"/>
      <sz val="12"/>
      <color rgb="FFB546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5462B"/>
        <bgColor rgb="FF993366"/>
      </patternFill>
    </fill>
    <fill>
      <patternFill patternType="solid">
        <fgColor rgb="FFE8A33D"/>
        <bgColor rgb="FFFF8080"/>
      </patternFill>
    </fill>
    <fill>
      <patternFill patternType="solid">
        <fgColor rgb="FFFFF6EC"/>
        <bgColor rgb="FFFFFDF8"/>
      </patternFill>
    </fill>
    <fill>
      <patternFill patternType="solid">
        <fgColor rgb="FFFBE9D5"/>
        <bgColor rgb="FFFBE3CF"/>
      </patternFill>
    </fill>
    <fill>
      <patternFill patternType="solid">
        <fgColor rgb="FF7A2E1C"/>
        <bgColor rgb="FF4A2C20"/>
      </patternFill>
    </fill>
    <fill>
      <patternFill patternType="solid">
        <fgColor rgb="FFF6D7B8"/>
        <bgColor rgb="FFF8CFC3"/>
      </patternFill>
    </fill>
    <fill>
      <patternFill patternType="solid">
        <fgColor rgb="FFFFFDF8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E8A33D"/>
      </bottom>
      <diagonal/>
    </border>
    <border diagonalUp="false" diagonalDown="false">
      <left style="thin">
        <color rgb="FFE9CDB3"/>
      </left>
      <right style="thin">
        <color rgb="FFE9CDB3"/>
      </right>
      <top style="thin">
        <color rgb="FFE9CDB3"/>
      </top>
      <bottom style="thin">
        <color rgb="FFE9CDB3"/>
      </bottom>
      <diagonal/>
    </border>
    <border diagonalUp="false" diagonalDown="false">
      <left style="thin">
        <color rgb="FFE9CDB3"/>
      </left>
      <right style="thin">
        <color rgb="FFE9CDB3"/>
      </right>
      <top style="thin">
        <color rgb="FFE9CDB3"/>
      </top>
      <bottom style="medium">
        <color rgb="FFE8A33D"/>
      </bottom>
      <diagonal/>
    </border>
    <border diagonalUp="false" diagonalDown="false">
      <left style="thin">
        <color rgb="FFE9CDB3"/>
      </left>
      <right/>
      <top style="thin">
        <color rgb="FFE9CDB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F6B2A"/>
      </font>
      <fill>
        <patternFill>
          <bgColor rgb="FFD9EBC9"/>
        </patternFill>
      </fill>
    </dxf>
    <dxf>
      <font>
        <name val="Arial"/>
        <charset val="1"/>
        <family val="0"/>
        <b val="1"/>
        <color rgb="FF7A2E1C"/>
      </font>
      <fill>
        <patternFill>
          <bgColor rgb="FFF8CF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2A"/>
      <rgbColor rgb="FF000080"/>
      <rgbColor rgb="FF808000"/>
      <rgbColor rgb="FF800080"/>
      <rgbColor rgb="FF008080"/>
      <rgbColor rgb="FFE9CDB3"/>
      <rgbColor rgb="FF878787"/>
      <rgbColor rgb="FF9999FF"/>
      <rgbColor rgb="FFB5462B"/>
      <rgbColor rgb="FFFFF6EC"/>
      <rgbColor rgb="FFFFFD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3CF"/>
      <rgbColor rgb="FFD9EBC9"/>
      <rgbColor rgb="FFFBE9D5"/>
      <rgbColor rgb="FF99CCFF"/>
      <rgbColor rgb="FFF8CFC3"/>
      <rgbColor rgb="FFCC99FF"/>
      <rgbColor rgb="FFF6D7B8"/>
      <rgbColor rgb="FF3366FF"/>
      <rgbColor rgb="FF33CCCC"/>
      <rgbColor rgb="FF99CC00"/>
      <rgbColor rgb="FFFFCC00"/>
      <rgbColor rgb="FFE8A33D"/>
      <rgbColor rgb="FFFF6600"/>
      <rgbColor rgb="FF8A6F62"/>
      <rgbColor rgb="FF969696"/>
      <rgbColor rgb="FF003366"/>
      <rgbColor rgb="FF339966"/>
      <rgbColor rgb="FF003300"/>
      <rgbColor rgb="FF333300"/>
      <rgbColor rgb="FF7A2E1C"/>
      <rgbColor rgb="FF993366"/>
      <rgbColor rgb="FF1F3FA8"/>
      <rgbColor rgb="FF4A2C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time total por equipo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Resultados!D4</c:f>
              <c:strCache>
                <c:ptCount val="1"/>
                <c:pt idx="0">
                  <c:v>Lead total (min)</c:v>
                </c:pt>
              </c:strCache>
            </c:strRef>
          </c:tx>
          <c:spPr>
            <a:solidFill>
              <a:srgbClr val="b5462b"/>
            </a:solidFill>
            <a:ln w="9360">
              <a:solidFill>
                <a:srgbClr val="b5462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Resultados!$A$5:$A$10</c:f>
              <c:strCache>
                <c:ptCount val="6"/>
                <c:pt idx="0">
                  <c:v>Equipo 1</c:v>
                </c:pt>
                <c:pt idx="1">
                  <c:v>Equipo 2</c:v>
                </c:pt>
                <c:pt idx="2">
                  <c:v>Equipo 3</c:v>
                </c:pt>
                <c:pt idx="3">
                  <c:v>Equipo 4</c:v>
                </c:pt>
                <c:pt idx="4">
                  <c:v>Equipo 5</c:v>
                </c:pt>
                <c:pt idx="5">
                  <c:v>Equipo 6</c:v>
                </c:pt>
              </c:strCache>
            </c:strRef>
          </c:cat>
          <c:val>
            <c:numRef>
              <c:f>Resultados!$D$5:$D$10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39444791"/>
        <c:axId val="58556721"/>
      </c:barChart>
      <c:catAx>
        <c:axId val="39444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56721"/>
        <c:crosses val="autoZero"/>
        <c:auto val="1"/>
        <c:lblAlgn val="ctr"/>
        <c:lblOffset val="100"/>
        <c:noMultiLvlLbl val="0"/>
      </c:catAx>
      <c:valAx>
        <c:axId val="58556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447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Desperdicio por tipo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Resultados!D21</c:f>
              <c:strCache>
                <c:ptCount val="1"/>
                <c:pt idx="0">
                  <c:v>Minutos</c:v>
                </c:pt>
              </c:strCache>
            </c:strRef>
          </c:tx>
          <c:spPr>
            <a:solidFill>
              <a:srgbClr val="e8a33d"/>
            </a:solidFill>
            <a:ln w="9360">
              <a:solidFill>
                <a:srgbClr val="e8a33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Espera</c:v>
                </c:pt>
                <c:pt idx="1">
                  <c:v>Retrabajo / defecto</c:v>
                </c:pt>
                <c:pt idx="2">
                  <c:v>Trabajo parcialmente hecho</c:v>
                </c:pt>
                <c:pt idx="3">
                  <c:v>Cambio de tarea</c:v>
                </c:pt>
                <c:pt idx="4">
                  <c:v>Funcionalidad extra</c:v>
                </c:pt>
                <c:pt idx="5">
                  <c:v>Transferencia / traspaso</c:v>
                </c:pt>
                <c:pt idx="6">
                  <c:v>Demoras de proceso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86591652"/>
        <c:axId val="1912190"/>
      </c:barChart>
      <c:catAx>
        <c:axId val="86591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2190"/>
        <c:crosses val="autoZero"/>
        <c:auto val="1"/>
        <c:lblAlgn val="ctr"/>
        <c:lblOffset val="100"/>
        <c:noMultiLvlLbl val="0"/>
      </c:catAx>
      <c:valAx>
        <c:axId val="1912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916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18</xdr:row>
      <xdr:rowOff>176040</xdr:rowOff>
    </xdr:from>
    <xdr:to>
      <xdr:col>12</xdr:col>
      <xdr:colOff>246600</xdr:colOff>
      <xdr:row>31</xdr:row>
      <xdr:rowOff>90360</xdr:rowOff>
    </xdr:to>
    <xdr:graphicFrame>
      <xdr:nvGraphicFramePr>
        <xdr:cNvPr id="0" name="Chart 1"/>
        <xdr:cNvGraphicFramePr/>
      </xdr:nvGraphicFramePr>
      <xdr:xfrm>
        <a:off x="4651920" y="4543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161280</xdr:rowOff>
    </xdr:from>
    <xdr:to>
      <xdr:col>6</xdr:col>
      <xdr:colOff>387720</xdr:colOff>
      <xdr:row>43</xdr:row>
      <xdr:rowOff>14040</xdr:rowOff>
    </xdr:to>
    <xdr:graphicFrame>
      <xdr:nvGraphicFramePr>
        <xdr:cNvPr id="1" name="Chart 2"/>
        <xdr:cNvGraphicFramePr/>
      </xdr:nvGraphicFramePr>
      <xdr:xfrm>
        <a:off x="0" y="67532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462B"/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4" customFormat="false" ht="16.15" hidden="false" customHeight="false" outlineLevel="0" collapsed="false">
      <c r="B4" s="4" t="s">
        <v>2</v>
      </c>
      <c r="H4" s="4" t="s">
        <v>3</v>
      </c>
    </row>
    <row r="5" customFormat="false" ht="30" hidden="false" customHeight="true" outlineLevel="0" collapsed="false">
      <c r="B5" s="5" t="s">
        <v>4</v>
      </c>
      <c r="C5" s="6" t="s">
        <v>5</v>
      </c>
      <c r="D5" s="6"/>
      <c r="E5" s="6"/>
      <c r="F5" s="6"/>
      <c r="H5" s="7" t="s">
        <v>6</v>
      </c>
    </row>
    <row r="6" customFormat="false" ht="30" hidden="false" customHeight="true" outlineLevel="0" collapsed="false">
      <c r="B6" s="8" t="s">
        <v>7</v>
      </c>
      <c r="C6" s="6" t="s">
        <v>8</v>
      </c>
      <c r="D6" s="6"/>
      <c r="E6" s="6"/>
      <c r="F6" s="6"/>
      <c r="H6" s="9" t="s">
        <v>9</v>
      </c>
    </row>
    <row r="7" customFormat="false" ht="30" hidden="false" customHeight="true" outlineLevel="0" collapsed="false">
      <c r="B7" s="5" t="s">
        <v>10</v>
      </c>
      <c r="C7" s="6" t="s">
        <v>11</v>
      </c>
      <c r="D7" s="6"/>
      <c r="E7" s="6"/>
      <c r="F7" s="6"/>
      <c r="H7" s="7" t="s">
        <v>12</v>
      </c>
    </row>
    <row r="8" customFormat="false" ht="30" hidden="false" customHeight="true" outlineLevel="0" collapsed="false">
      <c r="B8" s="8" t="s">
        <v>13</v>
      </c>
      <c r="C8" s="6" t="s">
        <v>14</v>
      </c>
      <c r="D8" s="6"/>
      <c r="E8" s="6"/>
      <c r="F8" s="6"/>
      <c r="H8" s="9" t="s">
        <v>15</v>
      </c>
    </row>
    <row r="9" customFormat="false" ht="30" hidden="false" customHeight="true" outlineLevel="0" collapsed="false">
      <c r="B9" s="5" t="s">
        <v>16</v>
      </c>
      <c r="C9" s="6" t="s">
        <v>17</v>
      </c>
      <c r="D9" s="6"/>
      <c r="E9" s="6"/>
      <c r="F9" s="6"/>
      <c r="H9" s="7" t="s">
        <v>18</v>
      </c>
    </row>
    <row r="10" customFormat="false" ht="15" hidden="false" customHeight="false" outlineLevel="0" collapsed="false">
      <c r="H10" s="9" t="s">
        <v>19</v>
      </c>
    </row>
    <row r="11" customFormat="false" ht="16.15" hidden="false" customHeight="false" outlineLevel="0" collapsed="false">
      <c r="B11" s="4" t="s">
        <v>20</v>
      </c>
      <c r="H11" s="7" t="s">
        <v>21</v>
      </c>
    </row>
    <row r="12" customFormat="false" ht="24" hidden="false" customHeight="true" outlineLevel="0" collapsed="false">
      <c r="B12" s="10" t="s">
        <v>22</v>
      </c>
      <c r="C12" s="10" t="s">
        <v>23</v>
      </c>
      <c r="D12" s="10" t="s">
        <v>24</v>
      </c>
      <c r="E12" s="10" t="s">
        <v>25</v>
      </c>
      <c r="F12" s="10" t="s">
        <v>26</v>
      </c>
      <c r="H12" s="9" t="s">
        <v>27</v>
      </c>
    </row>
    <row r="13" customFormat="false" ht="21.75" hidden="false" customHeight="true" outlineLevel="0" collapsed="false">
      <c r="B13" s="11" t="s">
        <v>28</v>
      </c>
      <c r="C13" s="12" t="s">
        <v>29</v>
      </c>
      <c r="D13" s="13"/>
      <c r="E13" s="13"/>
      <c r="F13" s="12" t="s">
        <v>30</v>
      </c>
      <c r="H13" s="7" t="s">
        <v>31</v>
      </c>
    </row>
    <row r="14" customFormat="false" ht="21.75" hidden="false" customHeight="true" outlineLevel="0" collapsed="false">
      <c r="B14" s="11" t="s">
        <v>32</v>
      </c>
      <c r="C14" s="12" t="s">
        <v>33</v>
      </c>
      <c r="D14" s="13"/>
      <c r="E14" s="13"/>
      <c r="F14" s="12" t="s">
        <v>30</v>
      </c>
      <c r="H14" s="9" t="s">
        <v>34</v>
      </c>
    </row>
    <row r="15" customFormat="false" ht="21.75" hidden="false" customHeight="true" outlineLevel="0" collapsed="false">
      <c r="B15" s="11" t="s">
        <v>35</v>
      </c>
      <c r="C15" s="12" t="s">
        <v>36</v>
      </c>
      <c r="D15" s="13"/>
      <c r="E15" s="13"/>
      <c r="F15" s="12" t="s">
        <v>30</v>
      </c>
      <c r="H15" s="7" t="s">
        <v>37</v>
      </c>
    </row>
    <row r="16" customFormat="false" ht="21.75" hidden="false" customHeight="true" outlineLevel="0" collapsed="false">
      <c r="B16" s="11" t="s">
        <v>38</v>
      </c>
      <c r="C16" s="12" t="s">
        <v>39</v>
      </c>
      <c r="D16" s="13"/>
      <c r="E16" s="13"/>
      <c r="F16" s="12" t="s">
        <v>30</v>
      </c>
      <c r="H16" s="9" t="s">
        <v>40</v>
      </c>
    </row>
    <row r="17" customFormat="false" ht="21.75" hidden="false" customHeight="true" outlineLevel="0" collapsed="false">
      <c r="B17" s="11" t="s">
        <v>41</v>
      </c>
      <c r="C17" s="12" t="s">
        <v>42</v>
      </c>
      <c r="D17" s="13"/>
      <c r="E17" s="13"/>
      <c r="F17" s="12" t="s">
        <v>30</v>
      </c>
      <c r="H17" s="7" t="s">
        <v>43</v>
      </c>
    </row>
    <row r="18" customFormat="false" ht="21.75" hidden="false" customHeight="true" outlineLevel="0" collapsed="false">
      <c r="B18" s="11" t="s">
        <v>44</v>
      </c>
      <c r="C18" s="12" t="s">
        <v>45</v>
      </c>
      <c r="D18" s="13"/>
      <c r="E18" s="13"/>
      <c r="F18" s="12" t="s">
        <v>30</v>
      </c>
      <c r="H18" s="9" t="s">
        <v>46</v>
      </c>
    </row>
    <row r="20" customFormat="false" ht="16.15" hidden="false" customHeight="false" outlineLevel="0" collapsed="false">
      <c r="B20" s="4" t="s">
        <v>47</v>
      </c>
    </row>
    <row r="21" customFormat="false" ht="15" hidden="false" customHeight="false" outlineLevel="0" collapsed="false">
      <c r="B21" s="14" t="s">
        <v>48</v>
      </c>
      <c r="C21" s="14"/>
      <c r="D21" s="14"/>
      <c r="E21" s="15" t="n">
        <v>12</v>
      </c>
    </row>
    <row r="22" customFormat="false" ht="15" hidden="false" customHeight="false" outlineLevel="0" collapsed="false">
      <c r="B22" s="13" t="s">
        <v>49</v>
      </c>
      <c r="C22" s="16" t="s">
        <v>50</v>
      </c>
    </row>
    <row r="23" customFormat="false" ht="15" hidden="false" customHeight="false" outlineLevel="0" collapsed="false">
      <c r="B23" s="17" t="s">
        <v>51</v>
      </c>
      <c r="C23" s="16" t="s">
        <v>52</v>
      </c>
    </row>
    <row r="24" customFormat="false" ht="15" hidden="false" customHeight="false" outlineLevel="0" collapsed="false">
      <c r="B24" s="12" t="s">
        <v>53</v>
      </c>
      <c r="C24" s="16" t="s">
        <v>54</v>
      </c>
    </row>
  </sheetData>
  <mergeCells count="6">
    <mergeCell ref="C5:F5"/>
    <mergeCell ref="C6:F6"/>
    <mergeCell ref="C7:F7"/>
    <mergeCell ref="C8:F8"/>
    <mergeCell ref="C9:F9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11" min="6" style="0" width="9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33.75" hidden="false" customHeight="true" outlineLevel="0" collapsed="false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6" hidden="false" customHeight="true" outlineLevel="0" collapsed="false">
      <c r="A4" s="18" t="s">
        <v>22</v>
      </c>
      <c r="B4" s="18" t="s">
        <v>23</v>
      </c>
      <c r="C4" s="18" t="s">
        <v>57</v>
      </c>
      <c r="D4" s="18" t="s">
        <v>58</v>
      </c>
      <c r="E4" s="18" t="s">
        <v>59</v>
      </c>
      <c r="F4" s="10" t="s">
        <v>60</v>
      </c>
      <c r="G4" s="10" t="s">
        <v>61</v>
      </c>
      <c r="H4" s="10" t="s">
        <v>62</v>
      </c>
      <c r="I4" s="10" t="s">
        <v>63</v>
      </c>
      <c r="J4" s="10" t="s">
        <v>64</v>
      </c>
      <c r="K4" s="10" t="s">
        <v>65</v>
      </c>
      <c r="L4" s="10" t="s">
        <v>66</v>
      </c>
      <c r="M4" s="10" t="s">
        <v>67</v>
      </c>
      <c r="N4" s="19" t="s">
        <v>68</v>
      </c>
      <c r="O4" s="19" t="s">
        <v>69</v>
      </c>
      <c r="P4" s="19" t="s">
        <v>70</v>
      </c>
    </row>
    <row r="5" customFormat="false" ht="19.5" hidden="false" customHeight="true" outlineLevel="0" collapsed="false">
      <c r="A5" s="11" t="s">
        <v>28</v>
      </c>
      <c r="B5" s="12" t="s">
        <v>29</v>
      </c>
      <c r="C5" s="12" t="s">
        <v>30</v>
      </c>
      <c r="D5" s="20" t="s">
        <v>71</v>
      </c>
      <c r="E5" s="21" t="s">
        <v>72</v>
      </c>
      <c r="F5" s="22"/>
      <c r="G5" s="22"/>
      <c r="H5" s="23"/>
      <c r="I5" s="23"/>
      <c r="J5" s="20"/>
      <c r="K5" s="20"/>
      <c r="L5" s="23"/>
      <c r="M5" s="20"/>
      <c r="N5" s="24" t="str">
        <f aca="false">IF(ISNUMBER(H5),H5-N(I5),"")</f>
        <v/>
      </c>
      <c r="O5" s="25" t="str">
        <f aca="false">IF(AND(ISNUMBER(H5),N(H5)&gt;0),(H5-N(I5))/H5,"")</f>
        <v/>
      </c>
      <c r="P5" s="17" t="str">
        <f aca="false">IF(ISNUMBER(H5),IF(H5&lt;=Portada!$E$21,"En meta","Arriba"),"")</f>
        <v/>
      </c>
    </row>
    <row r="6" customFormat="false" ht="19.5" hidden="false" customHeight="true" outlineLevel="0" collapsed="false">
      <c r="A6" s="26" t="s">
        <v>28</v>
      </c>
      <c r="B6" s="26" t="s">
        <v>29</v>
      </c>
      <c r="C6" s="12" t="s">
        <v>30</v>
      </c>
      <c r="D6" s="20" t="n">
        <v>2</v>
      </c>
      <c r="E6" s="21" t="s">
        <v>73</v>
      </c>
      <c r="F6" s="22"/>
      <c r="G6" s="22"/>
      <c r="H6" s="23"/>
      <c r="I6" s="23"/>
      <c r="J6" s="20"/>
      <c r="K6" s="20"/>
      <c r="L6" s="23"/>
      <c r="M6" s="20"/>
      <c r="N6" s="24" t="str">
        <f aca="false">IF(ISNUMBER(H6),H6-N(I6),"")</f>
        <v/>
      </c>
      <c r="O6" s="25" t="str">
        <f aca="false">IF(AND(ISNUMBER(H6),N(H6)&gt;0),(H6-N(I6))/H6,"")</f>
        <v/>
      </c>
      <c r="P6" s="17" t="str">
        <f aca="false">IF(ISNUMBER(H6),IF(H6&lt;=Portada!$E$21,"En meta","Arriba"),"")</f>
        <v/>
      </c>
    </row>
    <row r="7" customFormat="false" ht="19.5" hidden="false" customHeight="true" outlineLevel="0" collapsed="false">
      <c r="A7" s="27" t="s">
        <v>28</v>
      </c>
      <c r="B7" s="27" t="s">
        <v>29</v>
      </c>
      <c r="C7" s="28" t="s">
        <v>30</v>
      </c>
      <c r="D7" s="29" t="n">
        <v>3</v>
      </c>
      <c r="E7" s="30" t="s">
        <v>74</v>
      </c>
      <c r="F7" s="31"/>
      <c r="G7" s="31"/>
      <c r="H7" s="32"/>
      <c r="I7" s="32"/>
      <c r="J7" s="29"/>
      <c r="K7" s="29"/>
      <c r="L7" s="32"/>
      <c r="M7" s="29"/>
      <c r="N7" s="33" t="str">
        <f aca="false">IF(ISNUMBER(H7),H7-N(I7),"")</f>
        <v/>
      </c>
      <c r="O7" s="34" t="str">
        <f aca="false">IF(AND(ISNUMBER(H7),N(H7)&gt;0),(H7-N(I7))/H7,"")</f>
        <v/>
      </c>
      <c r="P7" s="35" t="str">
        <f aca="false">IF(ISNUMBER(H7),IF(H7&lt;=Portada!$E$21,"En meta","Arriba"),"")</f>
        <v/>
      </c>
    </row>
    <row r="8" customFormat="false" ht="19.5" hidden="false" customHeight="true" outlineLevel="0" collapsed="false">
      <c r="A8" s="36" t="s">
        <v>32</v>
      </c>
      <c r="B8" s="37" t="s">
        <v>33</v>
      </c>
      <c r="C8" s="37" t="s">
        <v>30</v>
      </c>
      <c r="D8" s="38" t="s">
        <v>71</v>
      </c>
      <c r="E8" s="13" t="s">
        <v>75</v>
      </c>
      <c r="F8" s="39"/>
      <c r="G8" s="39"/>
      <c r="H8" s="40"/>
      <c r="I8" s="40"/>
      <c r="J8" s="38"/>
      <c r="K8" s="38"/>
      <c r="L8" s="40"/>
      <c r="M8" s="38"/>
      <c r="N8" s="24" t="str">
        <f aca="false">IF(ISNUMBER(H8),H8-N(I8),"")</f>
        <v/>
      </c>
      <c r="O8" s="25" t="str">
        <f aca="false">IF(AND(ISNUMBER(H8),N(H8)&gt;0),(H8-N(I8))/H8,"")</f>
        <v/>
      </c>
      <c r="P8" s="17" t="str">
        <f aca="false">IF(ISNUMBER(H8),IF(H8&lt;=Portada!$E$21,"En meta","Arriba"),"")</f>
        <v/>
      </c>
    </row>
    <row r="9" customFormat="false" ht="19.5" hidden="false" customHeight="true" outlineLevel="0" collapsed="false">
      <c r="A9" s="41" t="s">
        <v>32</v>
      </c>
      <c r="B9" s="41" t="s">
        <v>33</v>
      </c>
      <c r="C9" s="37" t="s">
        <v>30</v>
      </c>
      <c r="D9" s="38" t="n">
        <v>2</v>
      </c>
      <c r="E9" s="13" t="s">
        <v>76</v>
      </c>
      <c r="F9" s="39"/>
      <c r="G9" s="39"/>
      <c r="H9" s="40"/>
      <c r="I9" s="40"/>
      <c r="J9" s="38"/>
      <c r="K9" s="38"/>
      <c r="L9" s="40"/>
      <c r="M9" s="38"/>
      <c r="N9" s="24" t="str">
        <f aca="false">IF(ISNUMBER(H9),H9-N(I9),"")</f>
        <v/>
      </c>
      <c r="O9" s="25" t="str">
        <f aca="false">IF(AND(ISNUMBER(H9),N(H9)&gt;0),(H9-N(I9))/H9,"")</f>
        <v/>
      </c>
      <c r="P9" s="17" t="str">
        <f aca="false">IF(ISNUMBER(H9),IF(H9&lt;=Portada!$E$21,"En meta","Arriba"),"")</f>
        <v/>
      </c>
    </row>
    <row r="10" customFormat="false" ht="19.5" hidden="false" customHeight="true" outlineLevel="0" collapsed="false">
      <c r="A10" s="42" t="s">
        <v>32</v>
      </c>
      <c r="B10" s="42" t="s">
        <v>33</v>
      </c>
      <c r="C10" s="43" t="s">
        <v>30</v>
      </c>
      <c r="D10" s="44" t="n">
        <v>3</v>
      </c>
      <c r="E10" s="45" t="s">
        <v>77</v>
      </c>
      <c r="F10" s="46"/>
      <c r="G10" s="46"/>
      <c r="H10" s="47"/>
      <c r="I10" s="47"/>
      <c r="J10" s="44"/>
      <c r="K10" s="44"/>
      <c r="L10" s="47"/>
      <c r="M10" s="44"/>
      <c r="N10" s="33" t="str">
        <f aca="false">IF(ISNUMBER(H10),H10-N(I10),"")</f>
        <v/>
      </c>
      <c r="O10" s="34" t="str">
        <f aca="false">IF(AND(ISNUMBER(H10),N(H10)&gt;0),(H10-N(I10))/H10,"")</f>
        <v/>
      </c>
      <c r="P10" s="35" t="str">
        <f aca="false">IF(ISNUMBER(H10),IF(H10&lt;=Portada!$E$21,"En meta","Arriba"),"")</f>
        <v/>
      </c>
    </row>
    <row r="11" customFormat="false" ht="19.5" hidden="false" customHeight="true" outlineLevel="0" collapsed="false">
      <c r="A11" s="11" t="s">
        <v>35</v>
      </c>
      <c r="B11" s="12" t="s">
        <v>36</v>
      </c>
      <c r="C11" s="12" t="s">
        <v>30</v>
      </c>
      <c r="D11" s="20" t="s">
        <v>71</v>
      </c>
      <c r="E11" s="21" t="s">
        <v>78</v>
      </c>
      <c r="F11" s="22"/>
      <c r="G11" s="22"/>
      <c r="H11" s="23"/>
      <c r="I11" s="23"/>
      <c r="J11" s="20"/>
      <c r="K11" s="20"/>
      <c r="L11" s="23"/>
      <c r="M11" s="20"/>
      <c r="N11" s="24" t="str">
        <f aca="false">IF(ISNUMBER(H11),H11-N(I11),"")</f>
        <v/>
      </c>
      <c r="O11" s="25" t="str">
        <f aca="false">IF(AND(ISNUMBER(H11),N(H11)&gt;0),(H11-N(I11))/H11,"")</f>
        <v/>
      </c>
      <c r="P11" s="17" t="str">
        <f aca="false">IF(ISNUMBER(H11),IF(H11&lt;=Portada!$E$21,"En meta","Arriba"),"")</f>
        <v/>
      </c>
    </row>
    <row r="12" customFormat="false" ht="19.5" hidden="false" customHeight="true" outlineLevel="0" collapsed="false">
      <c r="A12" s="26" t="s">
        <v>35</v>
      </c>
      <c r="B12" s="26" t="s">
        <v>36</v>
      </c>
      <c r="C12" s="12" t="s">
        <v>30</v>
      </c>
      <c r="D12" s="20" t="n">
        <v>2</v>
      </c>
      <c r="E12" s="21" t="s">
        <v>79</v>
      </c>
      <c r="F12" s="22"/>
      <c r="G12" s="22"/>
      <c r="H12" s="23"/>
      <c r="I12" s="23"/>
      <c r="J12" s="20"/>
      <c r="K12" s="20"/>
      <c r="L12" s="23"/>
      <c r="M12" s="20"/>
      <c r="N12" s="24" t="str">
        <f aca="false">IF(ISNUMBER(H12),H12-N(I12),"")</f>
        <v/>
      </c>
      <c r="O12" s="25" t="str">
        <f aca="false">IF(AND(ISNUMBER(H12),N(H12)&gt;0),(H12-N(I12))/H12,"")</f>
        <v/>
      </c>
      <c r="P12" s="17" t="str">
        <f aca="false">IF(ISNUMBER(H12),IF(H12&lt;=Portada!$E$21,"En meta","Arriba"),"")</f>
        <v/>
      </c>
    </row>
    <row r="13" customFormat="false" ht="19.5" hidden="false" customHeight="true" outlineLevel="0" collapsed="false">
      <c r="A13" s="27" t="s">
        <v>35</v>
      </c>
      <c r="B13" s="27" t="s">
        <v>36</v>
      </c>
      <c r="C13" s="28" t="s">
        <v>30</v>
      </c>
      <c r="D13" s="29" t="n">
        <v>3</v>
      </c>
      <c r="E13" s="30" t="s">
        <v>80</v>
      </c>
      <c r="F13" s="31"/>
      <c r="G13" s="31"/>
      <c r="H13" s="32"/>
      <c r="I13" s="32"/>
      <c r="J13" s="29"/>
      <c r="K13" s="29"/>
      <c r="L13" s="32"/>
      <c r="M13" s="29"/>
      <c r="N13" s="33" t="str">
        <f aca="false">IF(ISNUMBER(H13),H13-N(I13),"")</f>
        <v/>
      </c>
      <c r="O13" s="34" t="str">
        <f aca="false">IF(AND(ISNUMBER(H13),N(H13)&gt;0),(H13-N(I13))/H13,"")</f>
        <v/>
      </c>
      <c r="P13" s="35" t="str">
        <f aca="false">IF(ISNUMBER(H13),IF(H13&lt;=Portada!$E$21,"En meta","Arriba"),"")</f>
        <v/>
      </c>
    </row>
    <row r="14" customFormat="false" ht="19.5" hidden="false" customHeight="true" outlineLevel="0" collapsed="false">
      <c r="A14" s="36" t="s">
        <v>38</v>
      </c>
      <c r="B14" s="37" t="s">
        <v>39</v>
      </c>
      <c r="C14" s="37" t="s">
        <v>30</v>
      </c>
      <c r="D14" s="38" t="s">
        <v>71</v>
      </c>
      <c r="E14" s="13" t="s">
        <v>81</v>
      </c>
      <c r="F14" s="39"/>
      <c r="G14" s="39"/>
      <c r="H14" s="40"/>
      <c r="I14" s="40"/>
      <c r="J14" s="38"/>
      <c r="K14" s="38"/>
      <c r="L14" s="40"/>
      <c r="M14" s="38"/>
      <c r="N14" s="24" t="str">
        <f aca="false">IF(ISNUMBER(H14),H14-N(I14),"")</f>
        <v/>
      </c>
      <c r="O14" s="25" t="str">
        <f aca="false">IF(AND(ISNUMBER(H14),N(H14)&gt;0),(H14-N(I14))/H14,"")</f>
        <v/>
      </c>
      <c r="P14" s="17" t="str">
        <f aca="false">IF(ISNUMBER(H14),IF(H14&lt;=Portada!$E$21,"En meta","Arriba"),"")</f>
        <v/>
      </c>
    </row>
    <row r="15" customFormat="false" ht="19.5" hidden="false" customHeight="true" outlineLevel="0" collapsed="false">
      <c r="A15" s="41" t="s">
        <v>38</v>
      </c>
      <c r="B15" s="41" t="s">
        <v>39</v>
      </c>
      <c r="C15" s="37" t="s">
        <v>30</v>
      </c>
      <c r="D15" s="38" t="n">
        <v>2</v>
      </c>
      <c r="E15" s="13" t="s">
        <v>82</v>
      </c>
      <c r="F15" s="39"/>
      <c r="G15" s="39"/>
      <c r="H15" s="40"/>
      <c r="I15" s="40"/>
      <c r="J15" s="38"/>
      <c r="K15" s="38"/>
      <c r="L15" s="40"/>
      <c r="M15" s="38"/>
      <c r="N15" s="24" t="str">
        <f aca="false">IF(ISNUMBER(H15),H15-N(I15),"")</f>
        <v/>
      </c>
      <c r="O15" s="25" t="str">
        <f aca="false">IF(AND(ISNUMBER(H15),N(H15)&gt;0),(H15-N(I15))/H15,"")</f>
        <v/>
      </c>
      <c r="P15" s="17" t="str">
        <f aca="false">IF(ISNUMBER(H15),IF(H15&lt;=Portada!$E$21,"En meta","Arriba"),"")</f>
        <v/>
      </c>
    </row>
    <row r="16" customFormat="false" ht="19.5" hidden="false" customHeight="true" outlineLevel="0" collapsed="false">
      <c r="A16" s="42" t="s">
        <v>38</v>
      </c>
      <c r="B16" s="42" t="s">
        <v>39</v>
      </c>
      <c r="C16" s="43" t="s">
        <v>30</v>
      </c>
      <c r="D16" s="44" t="n">
        <v>3</v>
      </c>
      <c r="E16" s="45" t="s">
        <v>83</v>
      </c>
      <c r="F16" s="46"/>
      <c r="G16" s="46"/>
      <c r="H16" s="47"/>
      <c r="I16" s="47"/>
      <c r="J16" s="44"/>
      <c r="K16" s="44"/>
      <c r="L16" s="47"/>
      <c r="M16" s="44"/>
      <c r="N16" s="33" t="str">
        <f aca="false">IF(ISNUMBER(H16),H16-N(I16),"")</f>
        <v/>
      </c>
      <c r="O16" s="34" t="str">
        <f aca="false">IF(AND(ISNUMBER(H16),N(H16)&gt;0),(H16-N(I16))/H16,"")</f>
        <v/>
      </c>
      <c r="P16" s="35" t="str">
        <f aca="false">IF(ISNUMBER(H16),IF(H16&lt;=Portada!$E$21,"En meta","Arriba"),"")</f>
        <v/>
      </c>
    </row>
    <row r="17" customFormat="false" ht="19.5" hidden="false" customHeight="true" outlineLevel="0" collapsed="false">
      <c r="A17" s="11" t="s">
        <v>41</v>
      </c>
      <c r="B17" s="12" t="s">
        <v>42</v>
      </c>
      <c r="C17" s="12" t="s">
        <v>30</v>
      </c>
      <c r="D17" s="20" t="s">
        <v>71</v>
      </c>
      <c r="E17" s="21" t="s">
        <v>84</v>
      </c>
      <c r="F17" s="22"/>
      <c r="G17" s="22"/>
      <c r="H17" s="23"/>
      <c r="I17" s="23"/>
      <c r="J17" s="20"/>
      <c r="K17" s="20"/>
      <c r="L17" s="23"/>
      <c r="M17" s="20"/>
      <c r="N17" s="24" t="str">
        <f aca="false">IF(ISNUMBER(H17),H17-N(I17),"")</f>
        <v/>
      </c>
      <c r="O17" s="25" t="str">
        <f aca="false">IF(AND(ISNUMBER(H17),N(H17)&gt;0),(H17-N(I17))/H17,"")</f>
        <v/>
      </c>
      <c r="P17" s="17" t="str">
        <f aca="false">IF(ISNUMBER(H17),IF(H17&lt;=Portada!$E$21,"En meta","Arriba"),"")</f>
        <v/>
      </c>
    </row>
    <row r="18" customFormat="false" ht="19.5" hidden="false" customHeight="true" outlineLevel="0" collapsed="false">
      <c r="A18" s="26" t="s">
        <v>41</v>
      </c>
      <c r="B18" s="26" t="s">
        <v>42</v>
      </c>
      <c r="C18" s="12" t="s">
        <v>30</v>
      </c>
      <c r="D18" s="20" t="n">
        <v>2</v>
      </c>
      <c r="E18" s="21" t="s">
        <v>85</v>
      </c>
      <c r="F18" s="22"/>
      <c r="G18" s="22"/>
      <c r="H18" s="23"/>
      <c r="I18" s="23"/>
      <c r="J18" s="20"/>
      <c r="K18" s="20"/>
      <c r="L18" s="23"/>
      <c r="M18" s="20"/>
      <c r="N18" s="24" t="str">
        <f aca="false">IF(ISNUMBER(H18),H18-N(I18),"")</f>
        <v/>
      </c>
      <c r="O18" s="25" t="str">
        <f aca="false">IF(AND(ISNUMBER(H18),N(H18)&gt;0),(H18-N(I18))/H18,"")</f>
        <v/>
      </c>
      <c r="P18" s="17" t="str">
        <f aca="false">IF(ISNUMBER(H18),IF(H18&lt;=Portada!$E$21,"En meta","Arriba"),"")</f>
        <v/>
      </c>
    </row>
    <row r="19" customFormat="false" ht="19.5" hidden="false" customHeight="true" outlineLevel="0" collapsed="false">
      <c r="A19" s="27" t="s">
        <v>41</v>
      </c>
      <c r="B19" s="27" t="s">
        <v>42</v>
      </c>
      <c r="C19" s="28" t="s">
        <v>30</v>
      </c>
      <c r="D19" s="29" t="n">
        <v>3</v>
      </c>
      <c r="E19" s="30" t="s">
        <v>86</v>
      </c>
      <c r="F19" s="31"/>
      <c r="G19" s="31"/>
      <c r="H19" s="32"/>
      <c r="I19" s="32"/>
      <c r="J19" s="29"/>
      <c r="K19" s="29"/>
      <c r="L19" s="32"/>
      <c r="M19" s="29"/>
      <c r="N19" s="33" t="str">
        <f aca="false">IF(ISNUMBER(H19),H19-N(I19),"")</f>
        <v/>
      </c>
      <c r="O19" s="34" t="str">
        <f aca="false">IF(AND(ISNUMBER(H19),N(H19)&gt;0),(H19-N(I19))/H19,"")</f>
        <v/>
      </c>
      <c r="P19" s="35" t="str">
        <f aca="false">IF(ISNUMBER(H19),IF(H19&lt;=Portada!$E$21,"En meta","Arriba"),"")</f>
        <v/>
      </c>
    </row>
    <row r="20" customFormat="false" ht="19.5" hidden="false" customHeight="true" outlineLevel="0" collapsed="false">
      <c r="A20" s="36" t="s">
        <v>44</v>
      </c>
      <c r="B20" s="37" t="s">
        <v>45</v>
      </c>
      <c r="C20" s="37" t="s">
        <v>30</v>
      </c>
      <c r="D20" s="38" t="s">
        <v>71</v>
      </c>
      <c r="E20" s="13" t="s">
        <v>87</v>
      </c>
      <c r="F20" s="39"/>
      <c r="G20" s="39"/>
      <c r="H20" s="40"/>
      <c r="I20" s="40"/>
      <c r="J20" s="38"/>
      <c r="K20" s="38"/>
      <c r="L20" s="40"/>
      <c r="M20" s="38"/>
      <c r="N20" s="24" t="str">
        <f aca="false">IF(ISNUMBER(H20),H20-N(I20),"")</f>
        <v/>
      </c>
      <c r="O20" s="25" t="str">
        <f aca="false">IF(AND(ISNUMBER(H20),N(H20)&gt;0),(H20-N(I20))/H20,"")</f>
        <v/>
      </c>
      <c r="P20" s="17" t="str">
        <f aca="false">IF(ISNUMBER(H20),IF(H20&lt;=Portada!$E$21,"En meta","Arriba"),"")</f>
        <v/>
      </c>
    </row>
    <row r="21" customFormat="false" ht="19.5" hidden="false" customHeight="true" outlineLevel="0" collapsed="false">
      <c r="A21" s="41" t="s">
        <v>44</v>
      </c>
      <c r="B21" s="41" t="s">
        <v>45</v>
      </c>
      <c r="C21" s="37" t="s">
        <v>30</v>
      </c>
      <c r="D21" s="38" t="n">
        <v>2</v>
      </c>
      <c r="E21" s="13" t="s">
        <v>88</v>
      </c>
      <c r="F21" s="39"/>
      <c r="G21" s="39"/>
      <c r="H21" s="40"/>
      <c r="I21" s="40"/>
      <c r="J21" s="38"/>
      <c r="K21" s="38"/>
      <c r="L21" s="40"/>
      <c r="M21" s="38"/>
      <c r="N21" s="24" t="str">
        <f aca="false">IF(ISNUMBER(H21),H21-N(I21),"")</f>
        <v/>
      </c>
      <c r="O21" s="25" t="str">
        <f aca="false">IF(AND(ISNUMBER(H21),N(H21)&gt;0),(H21-N(I21))/H21,"")</f>
        <v/>
      </c>
      <c r="P21" s="17" t="str">
        <f aca="false">IF(ISNUMBER(H21),IF(H21&lt;=Portada!$E$21,"En meta","Arriba"),"")</f>
        <v/>
      </c>
    </row>
    <row r="22" customFormat="false" ht="19.5" hidden="false" customHeight="true" outlineLevel="0" collapsed="false">
      <c r="A22" s="42" t="s">
        <v>44</v>
      </c>
      <c r="B22" s="42" t="s">
        <v>45</v>
      </c>
      <c r="C22" s="43" t="s">
        <v>30</v>
      </c>
      <c r="D22" s="44" t="n">
        <v>3</v>
      </c>
      <c r="E22" s="45" t="s">
        <v>89</v>
      </c>
      <c r="F22" s="46"/>
      <c r="G22" s="46"/>
      <c r="H22" s="47"/>
      <c r="I22" s="47"/>
      <c r="J22" s="44"/>
      <c r="K22" s="44"/>
      <c r="L22" s="47"/>
      <c r="M22" s="44"/>
      <c r="N22" s="33" t="str">
        <f aca="false">IF(ISNUMBER(H22),H22-N(I22),"")</f>
        <v/>
      </c>
      <c r="O22" s="34" t="str">
        <f aca="false">IF(AND(ISNUMBER(H22),N(H22)&gt;0),(H22-N(I22))/H22,"")</f>
        <v/>
      </c>
      <c r="P22" s="35" t="str">
        <f aca="false">IF(ISNUMBER(H22),IF(H22&lt;=Portada!$E$21,"En meta","Arriba"),"")</f>
        <v/>
      </c>
    </row>
    <row r="24" customFormat="false" ht="15" hidden="false" customHeight="false" outlineLevel="0" collapsed="false">
      <c r="A24" s="9" t="s">
        <v>90</v>
      </c>
    </row>
  </sheetData>
  <conditionalFormatting sqref="P5:P22">
    <cfRule type="expression" priority="2" aboveAverage="0" equalAverage="0" bottom="0" percent="0" rank="0" text="" dxfId="0">
      <formula>P5="En meta"</formula>
    </cfRule>
    <cfRule type="expression" priority="3" aboveAverage="0" equalAverage="0" bottom="0" percent="0" rank="0" text="" dxfId="1">
      <formula>P5="Arriba"</formula>
    </cfRule>
  </conditionalFormatting>
  <dataValidations count="1">
    <dataValidation allowBlank="true" errorStyle="stop" operator="between" showDropDown="false" showErrorMessage="false" showInputMessage="false" sqref="M5:M22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5"/>
  </cols>
  <sheetData>
    <row r="1" customFormat="false" ht="33.75" hidden="false" customHeight="true" outlineLevel="0" collapsed="false">
      <c r="A1" s="1" t="s">
        <v>91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92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10" t="s">
        <v>93</v>
      </c>
      <c r="B4" s="10" t="s">
        <v>58</v>
      </c>
      <c r="C4" s="10" t="s">
        <v>22</v>
      </c>
      <c r="D4" s="10" t="s">
        <v>94</v>
      </c>
      <c r="E4" s="10" t="s">
        <v>95</v>
      </c>
      <c r="F4" s="10" t="s">
        <v>96</v>
      </c>
      <c r="G4" s="10" t="s">
        <v>97</v>
      </c>
      <c r="H4" s="10" t="s">
        <v>98</v>
      </c>
    </row>
    <row r="5" customFormat="false" ht="15" hidden="false" customHeight="false" outlineLevel="0" collapsed="false">
      <c r="A5" s="37" t="n">
        <v>1</v>
      </c>
      <c r="B5" s="20"/>
      <c r="C5" s="20"/>
      <c r="D5" s="21"/>
      <c r="E5" s="21"/>
      <c r="F5" s="23"/>
      <c r="G5" s="21"/>
      <c r="H5" s="21"/>
    </row>
    <row r="6" customFormat="false" ht="15" hidden="false" customHeight="false" outlineLevel="0" collapsed="false">
      <c r="A6" s="37" t="n">
        <v>2</v>
      </c>
      <c r="B6" s="38"/>
      <c r="C6" s="38"/>
      <c r="D6" s="13"/>
      <c r="E6" s="13"/>
      <c r="F6" s="40"/>
      <c r="G6" s="13"/>
      <c r="H6" s="13"/>
    </row>
    <row r="7" customFormat="false" ht="15" hidden="false" customHeight="false" outlineLevel="0" collapsed="false">
      <c r="A7" s="37" t="n">
        <v>3</v>
      </c>
      <c r="B7" s="20"/>
      <c r="C7" s="20"/>
      <c r="D7" s="21"/>
      <c r="E7" s="21"/>
      <c r="F7" s="23"/>
      <c r="G7" s="21"/>
      <c r="H7" s="21"/>
    </row>
    <row r="8" customFormat="false" ht="15" hidden="false" customHeight="false" outlineLevel="0" collapsed="false">
      <c r="A8" s="37" t="n">
        <v>4</v>
      </c>
      <c r="B8" s="38"/>
      <c r="C8" s="38"/>
      <c r="D8" s="13"/>
      <c r="E8" s="13"/>
      <c r="F8" s="40"/>
      <c r="G8" s="13"/>
      <c r="H8" s="13"/>
    </row>
    <row r="9" customFormat="false" ht="15" hidden="false" customHeight="false" outlineLevel="0" collapsed="false">
      <c r="A9" s="37" t="n">
        <v>5</v>
      </c>
      <c r="B9" s="20"/>
      <c r="C9" s="20"/>
      <c r="D9" s="21"/>
      <c r="E9" s="21"/>
      <c r="F9" s="23"/>
      <c r="G9" s="21"/>
      <c r="H9" s="21"/>
    </row>
    <row r="10" customFormat="false" ht="15" hidden="false" customHeight="false" outlineLevel="0" collapsed="false">
      <c r="A10" s="37" t="n">
        <v>6</v>
      </c>
      <c r="B10" s="38"/>
      <c r="C10" s="38"/>
      <c r="D10" s="13"/>
      <c r="E10" s="13"/>
      <c r="F10" s="40"/>
      <c r="G10" s="13"/>
      <c r="H10" s="13"/>
    </row>
    <row r="11" customFormat="false" ht="15" hidden="false" customHeight="false" outlineLevel="0" collapsed="false">
      <c r="A11" s="37" t="n">
        <v>7</v>
      </c>
      <c r="B11" s="20"/>
      <c r="C11" s="20"/>
      <c r="D11" s="21"/>
      <c r="E11" s="21"/>
      <c r="F11" s="23"/>
      <c r="G11" s="21"/>
      <c r="H11" s="21"/>
    </row>
    <row r="12" customFormat="false" ht="15" hidden="false" customHeight="false" outlineLevel="0" collapsed="false">
      <c r="A12" s="37" t="n">
        <v>8</v>
      </c>
      <c r="B12" s="38"/>
      <c r="C12" s="38"/>
      <c r="D12" s="13"/>
      <c r="E12" s="13"/>
      <c r="F12" s="40"/>
      <c r="G12" s="13"/>
      <c r="H12" s="13"/>
    </row>
    <row r="13" customFormat="false" ht="15" hidden="false" customHeight="false" outlineLevel="0" collapsed="false">
      <c r="A13" s="37" t="n">
        <v>9</v>
      </c>
      <c r="B13" s="20"/>
      <c r="C13" s="20"/>
      <c r="D13" s="21"/>
      <c r="E13" s="21"/>
      <c r="F13" s="23"/>
      <c r="G13" s="21"/>
      <c r="H13" s="21"/>
    </row>
    <row r="14" customFormat="false" ht="15" hidden="false" customHeight="false" outlineLevel="0" collapsed="false">
      <c r="A14" s="37" t="n">
        <v>10</v>
      </c>
      <c r="B14" s="38"/>
      <c r="C14" s="38"/>
      <c r="D14" s="13"/>
      <c r="E14" s="13"/>
      <c r="F14" s="40"/>
      <c r="G14" s="13"/>
      <c r="H14" s="13"/>
    </row>
    <row r="15" customFormat="false" ht="15" hidden="false" customHeight="false" outlineLevel="0" collapsed="false">
      <c r="A15" s="37" t="n">
        <v>11</v>
      </c>
      <c r="B15" s="20"/>
      <c r="C15" s="20"/>
      <c r="D15" s="21"/>
      <c r="E15" s="21"/>
      <c r="F15" s="23"/>
      <c r="G15" s="21"/>
      <c r="H15" s="21"/>
    </row>
    <row r="16" customFormat="false" ht="15" hidden="false" customHeight="false" outlineLevel="0" collapsed="false">
      <c r="A16" s="37" t="n">
        <v>12</v>
      </c>
      <c r="B16" s="38"/>
      <c r="C16" s="38"/>
      <c r="D16" s="13"/>
      <c r="E16" s="13"/>
      <c r="F16" s="40"/>
      <c r="G16" s="13"/>
      <c r="H16" s="13"/>
    </row>
    <row r="17" customFormat="false" ht="15" hidden="false" customHeight="false" outlineLevel="0" collapsed="false">
      <c r="A17" s="37" t="n">
        <v>13</v>
      </c>
      <c r="B17" s="20"/>
      <c r="C17" s="20"/>
      <c r="D17" s="21"/>
      <c r="E17" s="21"/>
      <c r="F17" s="23"/>
      <c r="G17" s="21"/>
      <c r="H17" s="21"/>
    </row>
    <row r="18" customFormat="false" ht="15" hidden="false" customHeight="false" outlineLevel="0" collapsed="false">
      <c r="A18" s="37" t="n">
        <v>14</v>
      </c>
      <c r="B18" s="38"/>
      <c r="C18" s="38"/>
      <c r="D18" s="13"/>
      <c r="E18" s="13"/>
      <c r="F18" s="40"/>
      <c r="G18" s="13"/>
      <c r="H18" s="13"/>
    </row>
    <row r="19" customFormat="false" ht="15" hidden="false" customHeight="false" outlineLevel="0" collapsed="false">
      <c r="A19" s="37" t="n">
        <v>15</v>
      </c>
      <c r="B19" s="20"/>
      <c r="C19" s="20"/>
      <c r="D19" s="21"/>
      <c r="E19" s="21"/>
      <c r="F19" s="23"/>
      <c r="G19" s="21"/>
      <c r="H19" s="21"/>
    </row>
    <row r="20" customFormat="false" ht="15" hidden="false" customHeight="false" outlineLevel="0" collapsed="false">
      <c r="A20" s="37" t="n">
        <v>16</v>
      </c>
      <c r="B20" s="38"/>
      <c r="C20" s="38"/>
      <c r="D20" s="13"/>
      <c r="E20" s="13"/>
      <c r="F20" s="40"/>
      <c r="G20" s="13"/>
      <c r="H20" s="13"/>
    </row>
    <row r="21" customFormat="false" ht="15" hidden="false" customHeight="false" outlineLevel="0" collapsed="false">
      <c r="A21" s="37" t="n">
        <v>17</v>
      </c>
      <c r="B21" s="20"/>
      <c r="C21" s="20"/>
      <c r="D21" s="21"/>
      <c r="E21" s="21"/>
      <c r="F21" s="23"/>
      <c r="G21" s="21"/>
      <c r="H21" s="21"/>
    </row>
    <row r="22" customFormat="false" ht="15" hidden="false" customHeight="false" outlineLevel="0" collapsed="false">
      <c r="A22" s="37" t="n">
        <v>18</v>
      </c>
      <c r="B22" s="38"/>
      <c r="C22" s="38"/>
      <c r="D22" s="13"/>
      <c r="E22" s="13"/>
      <c r="F22" s="40"/>
      <c r="G22" s="13"/>
      <c r="H22" s="13"/>
    </row>
    <row r="23" customFormat="false" ht="15" hidden="false" customHeight="false" outlineLevel="0" collapsed="false">
      <c r="A23" s="37" t="n">
        <v>19</v>
      </c>
      <c r="B23" s="20"/>
      <c r="C23" s="20"/>
      <c r="D23" s="21"/>
      <c r="E23" s="21"/>
      <c r="F23" s="23"/>
      <c r="G23" s="21"/>
      <c r="H23" s="21"/>
    </row>
    <row r="24" customFormat="false" ht="15" hidden="false" customHeight="false" outlineLevel="0" collapsed="false">
      <c r="A24" s="37" t="n">
        <v>20</v>
      </c>
      <c r="B24" s="38"/>
      <c r="C24" s="38"/>
      <c r="D24" s="13"/>
      <c r="E24" s="13"/>
      <c r="F24" s="40"/>
      <c r="G24" s="13"/>
      <c r="H24" s="13"/>
    </row>
    <row r="25" customFormat="false" ht="15" hidden="false" customHeight="false" outlineLevel="0" collapsed="false">
      <c r="A25" s="37" t="n">
        <v>21</v>
      </c>
      <c r="B25" s="20"/>
      <c r="C25" s="20"/>
      <c r="D25" s="21"/>
      <c r="E25" s="21"/>
      <c r="F25" s="23"/>
      <c r="G25" s="21"/>
      <c r="H25" s="21"/>
    </row>
    <row r="26" customFormat="false" ht="15" hidden="false" customHeight="false" outlineLevel="0" collapsed="false">
      <c r="A26" s="37" t="n">
        <v>22</v>
      </c>
      <c r="B26" s="38"/>
      <c r="C26" s="38"/>
      <c r="D26" s="13"/>
      <c r="E26" s="13"/>
      <c r="F26" s="40"/>
      <c r="G26" s="13"/>
      <c r="H26" s="13"/>
    </row>
    <row r="27" customFormat="false" ht="15" hidden="false" customHeight="false" outlineLevel="0" collapsed="false">
      <c r="A27" s="37" t="n">
        <v>23</v>
      </c>
      <c r="B27" s="20"/>
      <c r="C27" s="20"/>
      <c r="D27" s="21"/>
      <c r="E27" s="21"/>
      <c r="F27" s="23"/>
      <c r="G27" s="21"/>
      <c r="H27" s="21"/>
    </row>
    <row r="28" customFormat="false" ht="15" hidden="false" customHeight="false" outlineLevel="0" collapsed="false">
      <c r="A28" s="37" t="n">
        <v>24</v>
      </c>
      <c r="B28" s="38"/>
      <c r="C28" s="38"/>
      <c r="D28" s="13"/>
      <c r="E28" s="13"/>
      <c r="F28" s="40"/>
      <c r="G28" s="13"/>
      <c r="H28" s="13"/>
    </row>
    <row r="29" customFormat="false" ht="15" hidden="false" customHeight="false" outlineLevel="0" collapsed="false">
      <c r="A29" s="37" t="n">
        <v>25</v>
      </c>
      <c r="B29" s="20"/>
      <c r="C29" s="20"/>
      <c r="D29" s="21"/>
      <c r="E29" s="21"/>
      <c r="F29" s="23"/>
      <c r="G29" s="21"/>
      <c r="H29" s="21"/>
    </row>
    <row r="30" customFormat="false" ht="15" hidden="false" customHeight="false" outlineLevel="0" collapsed="false">
      <c r="A30" s="37" t="n">
        <v>26</v>
      </c>
      <c r="B30" s="38"/>
      <c r="C30" s="38"/>
      <c r="D30" s="13"/>
      <c r="E30" s="13"/>
      <c r="F30" s="40"/>
      <c r="G30" s="13"/>
      <c r="H30" s="13"/>
    </row>
    <row r="31" customFormat="false" ht="15" hidden="false" customHeight="false" outlineLevel="0" collapsed="false">
      <c r="A31" s="37" t="n">
        <v>27</v>
      </c>
      <c r="B31" s="20"/>
      <c r="C31" s="20"/>
      <c r="D31" s="21"/>
      <c r="E31" s="21"/>
      <c r="F31" s="23"/>
      <c r="G31" s="21"/>
      <c r="H31" s="21"/>
    </row>
    <row r="32" customFormat="false" ht="15" hidden="false" customHeight="false" outlineLevel="0" collapsed="false">
      <c r="A32" s="37" t="n">
        <v>28</v>
      </c>
      <c r="B32" s="38"/>
      <c r="C32" s="38"/>
      <c r="D32" s="13"/>
      <c r="E32" s="13"/>
      <c r="F32" s="40"/>
      <c r="G32" s="13"/>
      <c r="H32" s="13"/>
    </row>
    <row r="33" customFormat="false" ht="15" hidden="false" customHeight="false" outlineLevel="0" collapsed="false">
      <c r="A33" s="37" t="n">
        <v>29</v>
      </c>
      <c r="B33" s="20"/>
      <c r="C33" s="20"/>
      <c r="D33" s="21"/>
      <c r="E33" s="21"/>
      <c r="F33" s="23"/>
      <c r="G33" s="21"/>
      <c r="H33" s="21"/>
    </row>
    <row r="34" customFormat="false" ht="15" hidden="false" customHeight="false" outlineLevel="0" collapsed="false">
      <c r="A34" s="37" t="n">
        <v>30</v>
      </c>
      <c r="B34" s="38"/>
      <c r="C34" s="38"/>
      <c r="D34" s="13"/>
      <c r="E34" s="13"/>
      <c r="F34" s="40"/>
      <c r="G34" s="13"/>
      <c r="H34" s="13"/>
    </row>
    <row r="35" customFormat="false" ht="15" hidden="false" customHeight="false" outlineLevel="0" collapsed="false">
      <c r="A35" s="37" t="n">
        <v>31</v>
      </c>
      <c r="B35" s="20"/>
      <c r="C35" s="20"/>
      <c r="D35" s="21"/>
      <c r="E35" s="21"/>
      <c r="F35" s="23"/>
      <c r="G35" s="21"/>
      <c r="H35" s="21"/>
    </row>
    <row r="36" customFormat="false" ht="15" hidden="false" customHeight="false" outlineLevel="0" collapsed="false">
      <c r="A36" s="37" t="n">
        <v>32</v>
      </c>
      <c r="B36" s="38"/>
      <c r="C36" s="38"/>
      <c r="D36" s="13"/>
      <c r="E36" s="13"/>
      <c r="F36" s="40"/>
      <c r="G36" s="13"/>
      <c r="H36" s="13"/>
    </row>
    <row r="37" customFormat="false" ht="15" hidden="false" customHeight="false" outlineLevel="0" collapsed="false">
      <c r="A37" s="37" t="n">
        <v>33</v>
      </c>
      <c r="B37" s="20"/>
      <c r="C37" s="20"/>
      <c r="D37" s="21"/>
      <c r="E37" s="21"/>
      <c r="F37" s="23"/>
      <c r="G37" s="21"/>
      <c r="H37" s="21"/>
    </row>
    <row r="38" customFormat="false" ht="15" hidden="false" customHeight="false" outlineLevel="0" collapsed="false">
      <c r="A38" s="37" t="n">
        <v>34</v>
      </c>
      <c r="B38" s="38"/>
      <c r="C38" s="38"/>
      <c r="D38" s="13"/>
      <c r="E38" s="13"/>
      <c r="F38" s="40"/>
      <c r="G38" s="13"/>
      <c r="H38" s="13"/>
    </row>
    <row r="39" customFormat="false" ht="15" hidden="false" customHeight="false" outlineLevel="0" collapsed="false">
      <c r="A39" s="37" t="n">
        <v>35</v>
      </c>
      <c r="B39" s="20"/>
      <c r="C39" s="20"/>
      <c r="D39" s="21"/>
      <c r="E39" s="21"/>
      <c r="F39" s="23"/>
      <c r="G39" s="21"/>
      <c r="H39" s="21"/>
    </row>
    <row r="40" customFormat="false" ht="15" hidden="false" customHeight="false" outlineLevel="0" collapsed="false">
      <c r="A40" s="37" t="n">
        <v>36</v>
      </c>
      <c r="B40" s="38"/>
      <c r="C40" s="38"/>
      <c r="D40" s="13"/>
      <c r="E40" s="13"/>
      <c r="F40" s="40"/>
      <c r="G40" s="13"/>
      <c r="H40" s="13"/>
    </row>
    <row r="41" customFormat="false" ht="15" hidden="false" customHeight="false" outlineLevel="0" collapsed="false">
      <c r="A41" s="37" t="n">
        <v>37</v>
      </c>
      <c r="B41" s="20"/>
      <c r="C41" s="20"/>
      <c r="D41" s="21"/>
      <c r="E41" s="21"/>
      <c r="F41" s="23"/>
      <c r="G41" s="21"/>
      <c r="H41" s="21"/>
    </row>
    <row r="42" customFormat="false" ht="15" hidden="false" customHeight="false" outlineLevel="0" collapsed="false">
      <c r="A42" s="37" t="n">
        <v>38</v>
      </c>
      <c r="B42" s="38"/>
      <c r="C42" s="38"/>
      <c r="D42" s="13"/>
      <c r="E42" s="13"/>
      <c r="F42" s="40"/>
      <c r="G42" s="13"/>
      <c r="H42" s="13"/>
    </row>
    <row r="43" customFormat="false" ht="15" hidden="false" customHeight="false" outlineLevel="0" collapsed="false">
      <c r="A43" s="37" t="n">
        <v>39</v>
      </c>
      <c r="B43" s="20"/>
      <c r="C43" s="20"/>
      <c r="D43" s="21"/>
      <c r="E43" s="21"/>
      <c r="F43" s="23"/>
      <c r="G43" s="21"/>
      <c r="H43" s="21"/>
    </row>
    <row r="44" customFormat="false" ht="15" hidden="false" customHeight="false" outlineLevel="0" collapsed="false">
      <c r="A44" s="37" t="n">
        <v>40</v>
      </c>
      <c r="B44" s="38"/>
      <c r="C44" s="38"/>
      <c r="D44" s="13"/>
      <c r="E44" s="13"/>
      <c r="F44" s="40"/>
      <c r="G44" s="13"/>
      <c r="H44" s="13"/>
    </row>
    <row r="46" customFormat="false" ht="15" hidden="false" customHeight="false" outlineLevel="0" collapsed="false">
      <c r="E46" s="48" t="s">
        <v>99</v>
      </c>
      <c r="F46" s="49" t="n">
        <f aca="false">SUM(F5:F44)</f>
        <v>0</v>
      </c>
    </row>
  </sheetData>
  <dataValidations count="4">
    <dataValidation allowBlank="true" errorStyle="stop" operator="between" showDropDown="false" showErrorMessage="false" showInputMessage="false" sqref="B5:B44" type="list">
      <formula1>"1,2,3"</formula1>
      <formula2>0</formula2>
    </dataValidation>
    <dataValidation allowBlank="true" errorStyle="stop" operator="between" showDropDown="false" showErrorMessage="false" showInputMessage="false" sqref="C5:C44" type="list">
      <formula1>"Equipo 1,Equipo 2,Equipo 3,Equipo 4,Equipo 5,Equipo 6"</formula1>
      <formula2>0</formula2>
    </dataValidation>
    <dataValidation allowBlank="true" errorStyle="stop" operator="between" showDropDown="false" showErrorMessage="false" showInputMessage="false" sqref="D5:D44" type="list">
      <formula1>"Espera,Retrabajo / defecto,Trabajo parcialmente hecho,Cambio de tarea,Funcionalidad extra,Transferencia / traspaso,Demoras de proceso"</formula1>
      <formula2>0</formula2>
    </dataValidation>
    <dataValidation allowBlank="true" errorStyle="stop" operator="between" showDropDown="false" showErrorMessage="false" showInputMessage="false" sqref="H5:H44" type="list">
      <formula1>"Mismo equipo,probar.py,Revisor,Profesor"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48"/>
  </cols>
  <sheetData>
    <row r="1" customFormat="false" ht="33.75" hidden="false" customHeight="true" outlineLevel="0" collapsed="false">
      <c r="A1" s="1" t="s">
        <v>100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101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10" t="s">
        <v>102</v>
      </c>
      <c r="B4" s="10" t="s">
        <v>23</v>
      </c>
      <c r="C4" s="10" t="s">
        <v>103</v>
      </c>
      <c r="D4" s="10" t="s">
        <v>104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</row>
    <row r="5" customFormat="false" ht="25.5" hidden="false" customHeight="true" outlineLevel="0" collapsed="false">
      <c r="A5" s="11" t="s">
        <v>28</v>
      </c>
      <c r="B5" s="12" t="s">
        <v>29</v>
      </c>
      <c r="C5" s="13"/>
      <c r="D5" s="50"/>
      <c r="E5" s="39"/>
      <c r="F5" s="39"/>
      <c r="G5" s="51" t="str">
        <f aca="false">IF(AND(ISNUMBER(E5),ISNUMBER(F5)),ROUND((F5-E5)*1440,0),"")</f>
        <v/>
      </c>
      <c r="H5" s="50"/>
      <c r="I5" s="13"/>
    </row>
    <row r="6" customFormat="false" ht="25.5" hidden="false" customHeight="true" outlineLevel="0" collapsed="false">
      <c r="A6" s="11" t="s">
        <v>32</v>
      </c>
      <c r="B6" s="12" t="s">
        <v>33</v>
      </c>
      <c r="C6" s="13"/>
      <c r="D6" s="50"/>
      <c r="E6" s="39"/>
      <c r="F6" s="39"/>
      <c r="G6" s="51" t="str">
        <f aca="false">IF(AND(ISNUMBER(E6),ISNUMBER(F6)),ROUND((F6-E6)*1440,0),"")</f>
        <v/>
      </c>
      <c r="H6" s="50"/>
      <c r="I6" s="13"/>
    </row>
    <row r="7" customFormat="false" ht="25.5" hidden="false" customHeight="true" outlineLevel="0" collapsed="false">
      <c r="A7" s="11" t="s">
        <v>35</v>
      </c>
      <c r="B7" s="12" t="s">
        <v>36</v>
      </c>
      <c r="C7" s="13"/>
      <c r="D7" s="50"/>
      <c r="E7" s="39"/>
      <c r="F7" s="39"/>
      <c r="G7" s="51" t="str">
        <f aca="false">IF(AND(ISNUMBER(E7),ISNUMBER(F7)),ROUND((F7-E7)*1440,0),"")</f>
        <v/>
      </c>
      <c r="H7" s="50"/>
      <c r="I7" s="13"/>
    </row>
    <row r="8" customFormat="false" ht="25.5" hidden="false" customHeight="true" outlineLevel="0" collapsed="false">
      <c r="A8" s="11" t="s">
        <v>38</v>
      </c>
      <c r="B8" s="12" t="s">
        <v>39</v>
      </c>
      <c r="C8" s="13"/>
      <c r="D8" s="50"/>
      <c r="E8" s="39"/>
      <c r="F8" s="39"/>
      <c r="G8" s="51" t="str">
        <f aca="false">IF(AND(ISNUMBER(E8),ISNUMBER(F8)),ROUND((F8-E8)*1440,0),"")</f>
        <v/>
      </c>
      <c r="H8" s="50"/>
      <c r="I8" s="13"/>
    </row>
    <row r="9" customFormat="false" ht="25.5" hidden="false" customHeight="true" outlineLevel="0" collapsed="false">
      <c r="A9" s="11" t="s">
        <v>41</v>
      </c>
      <c r="B9" s="12" t="s">
        <v>42</v>
      </c>
      <c r="C9" s="13"/>
      <c r="D9" s="50"/>
      <c r="E9" s="39"/>
      <c r="F9" s="39"/>
      <c r="G9" s="51" t="str">
        <f aca="false">IF(AND(ISNUMBER(E9),ISNUMBER(F9)),ROUND((F9-E9)*1440,0),"")</f>
        <v/>
      </c>
      <c r="H9" s="50"/>
      <c r="I9" s="13"/>
    </row>
    <row r="10" customFormat="false" ht="25.5" hidden="false" customHeight="true" outlineLevel="0" collapsed="false">
      <c r="A10" s="11" t="s">
        <v>44</v>
      </c>
      <c r="B10" s="12" t="s">
        <v>45</v>
      </c>
      <c r="C10" s="13"/>
      <c r="D10" s="50"/>
      <c r="E10" s="39"/>
      <c r="F10" s="39"/>
      <c r="G10" s="51" t="str">
        <f aca="false">IF(AND(ISNUMBER(E10),ISNUMBER(F10)),ROUND((F10-E10)*1440,0),"")</f>
        <v/>
      </c>
      <c r="H10" s="50"/>
      <c r="I10" s="13"/>
    </row>
    <row r="12" customFormat="false" ht="15" hidden="false" customHeight="false" outlineLevel="0" collapsed="false">
      <c r="A12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32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" t="s">
        <v>111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112</v>
      </c>
      <c r="B2" s="2"/>
      <c r="C2" s="2"/>
      <c r="D2" s="2"/>
      <c r="E2" s="2"/>
    </row>
    <row r="4" customFormat="false" ht="39.75" hidden="false" customHeight="true" outlineLevel="0" collapsed="false">
      <c r="A4" s="10" t="s">
        <v>22</v>
      </c>
      <c r="B4" s="10" t="s">
        <v>113</v>
      </c>
      <c r="C4" s="10" t="s">
        <v>114</v>
      </c>
      <c r="D4" s="10" t="s">
        <v>115</v>
      </c>
      <c r="E4" s="10" t="s">
        <v>116</v>
      </c>
    </row>
    <row r="5" customFormat="false" ht="57.75" hidden="false" customHeight="true" outlineLevel="0" collapsed="false">
      <c r="A5" s="11" t="s">
        <v>28</v>
      </c>
      <c r="B5" s="13"/>
      <c r="C5" s="13"/>
      <c r="D5" s="13"/>
      <c r="E5" s="13"/>
    </row>
    <row r="6" customFormat="false" ht="57.75" hidden="false" customHeight="true" outlineLevel="0" collapsed="false">
      <c r="A6" s="11" t="s">
        <v>32</v>
      </c>
      <c r="B6" s="13"/>
      <c r="C6" s="13"/>
      <c r="D6" s="13"/>
      <c r="E6" s="13"/>
    </row>
    <row r="7" customFormat="false" ht="57.75" hidden="false" customHeight="true" outlineLevel="0" collapsed="false">
      <c r="A7" s="11" t="s">
        <v>35</v>
      </c>
      <c r="B7" s="13"/>
      <c r="C7" s="13"/>
      <c r="D7" s="13"/>
      <c r="E7" s="13"/>
    </row>
    <row r="8" customFormat="false" ht="57.75" hidden="false" customHeight="true" outlineLevel="0" collapsed="false">
      <c r="A8" s="11" t="s">
        <v>38</v>
      </c>
      <c r="B8" s="13"/>
      <c r="C8" s="13"/>
      <c r="D8" s="13"/>
      <c r="E8" s="13"/>
    </row>
    <row r="9" customFormat="false" ht="57.75" hidden="false" customHeight="true" outlineLevel="0" collapsed="false">
      <c r="A9" s="11" t="s">
        <v>41</v>
      </c>
      <c r="B9" s="13"/>
      <c r="C9" s="13"/>
      <c r="D9" s="13"/>
      <c r="E9" s="13"/>
    </row>
    <row r="10" customFormat="false" ht="57.75" hidden="false" customHeight="true" outlineLevel="0" collapsed="false">
      <c r="A10" s="11" t="s">
        <v>44</v>
      </c>
      <c r="B10" s="13"/>
      <c r="C10" s="13"/>
      <c r="D10" s="13"/>
      <c r="E10" s="13"/>
    </row>
    <row r="12" customFormat="false" ht="15" hidden="false" customHeight="false" outlineLevel="0" collapsed="false">
      <c r="A12" s="52" t="s">
        <v>117</v>
      </c>
    </row>
    <row r="13" customFormat="false" ht="15" hidden="false" customHeight="false" outlineLevel="0" collapsed="false">
      <c r="A13" s="53"/>
      <c r="B13" s="53"/>
      <c r="C13" s="53"/>
      <c r="D13" s="53"/>
      <c r="E13" s="53"/>
    </row>
    <row r="14" customFormat="false" ht="15" hidden="false" customHeight="false" outlineLevel="0" collapsed="false">
      <c r="A14" s="53"/>
      <c r="B14" s="53"/>
      <c r="C14" s="53"/>
      <c r="D14" s="53"/>
      <c r="E14" s="53"/>
    </row>
    <row r="15" customFormat="false" ht="15" hidden="false" customHeight="false" outlineLevel="0" collapsed="false">
      <c r="A15" s="53"/>
      <c r="B15" s="53"/>
      <c r="C15" s="53"/>
      <c r="D15" s="53"/>
      <c r="E15" s="53"/>
    </row>
    <row r="17" customFormat="false" ht="15" hidden="false" customHeight="false" outlineLevel="0" collapsed="false">
      <c r="A17" s="52" t="s">
        <v>118</v>
      </c>
    </row>
    <row r="18" customFormat="false" ht="15" hidden="false" customHeight="false" outlineLevel="0" collapsed="false">
      <c r="A18" s="53"/>
      <c r="B18" s="53"/>
      <c r="C18" s="53"/>
      <c r="D18" s="53"/>
      <c r="E18" s="53"/>
    </row>
    <row r="19" customFormat="false" ht="15" hidden="false" customHeight="false" outlineLevel="0" collapsed="false">
      <c r="A19" s="53"/>
      <c r="B19" s="53"/>
      <c r="C19" s="53"/>
      <c r="D19" s="53"/>
      <c r="E19" s="53"/>
    </row>
    <row r="20" customFormat="false" ht="15" hidden="false" customHeight="false" outlineLevel="0" collapsed="false">
      <c r="A20" s="53"/>
      <c r="B20" s="53"/>
      <c r="C20" s="53"/>
      <c r="D20" s="53"/>
      <c r="E20" s="53"/>
    </row>
    <row r="21" customFormat="false" ht="15" hidden="false" customHeight="false" outlineLevel="0" collapsed="false">
      <c r="A21" s="53"/>
      <c r="B21" s="53"/>
      <c r="C21" s="53"/>
      <c r="D21" s="53"/>
      <c r="E21" s="53"/>
    </row>
  </sheetData>
  <mergeCells count="2">
    <mergeCell ref="A13:E15"/>
    <mergeCell ref="A18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1C"/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10" min="7" style="0" width="11"/>
    <col collapsed="false" customWidth="true" hidden="false" outlineLevel="0" max="12" min="11" style="0" width="12"/>
  </cols>
  <sheetData>
    <row r="1" customFormat="false" ht="33.75" hidden="false" customHeight="true" outlineLevel="0" collapsed="false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A4" s="10" t="s">
        <v>22</v>
      </c>
      <c r="B4" s="10" t="s">
        <v>23</v>
      </c>
      <c r="C4" s="10" t="s">
        <v>121</v>
      </c>
      <c r="D4" s="10" t="s">
        <v>122</v>
      </c>
      <c r="E4" s="10" t="s">
        <v>123</v>
      </c>
      <c r="F4" s="10" t="s">
        <v>63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128</v>
      </c>
      <c r="L4" s="10" t="s">
        <v>129</v>
      </c>
    </row>
    <row r="5" customFormat="false" ht="15" hidden="false" customHeight="false" outlineLevel="0" collapsed="false">
      <c r="A5" s="11" t="s">
        <v>28</v>
      </c>
      <c r="B5" s="12" t="s">
        <v>29</v>
      </c>
      <c r="C5" s="51" t="n">
        <f aca="false">COUNTIFS(Flujo!$A$5:$A$22,"Equipo 1",Flujo!$H$5:$H$22,"&gt;=0")</f>
        <v>0</v>
      </c>
      <c r="D5" s="24" t="n">
        <f aca="false">SUMIF(Flujo!$A$5:$A$22,"Equipo 1",Flujo!$H$5:$H$22)</f>
        <v>0</v>
      </c>
      <c r="E5" s="24" t="str">
        <f aca="false">IF(C5&gt;0,D5/C5,"")</f>
        <v/>
      </c>
      <c r="F5" s="24" t="n">
        <f aca="false">SUMIF(Flujo!$A$5:$A$22,"Equipo 1",Flujo!$I$5:$I$22)</f>
        <v>0</v>
      </c>
      <c r="G5" s="25" t="str">
        <f aca="false">IF(D5&gt;0,(D5-F5)/D5,"")</f>
        <v/>
      </c>
      <c r="H5" s="51" t="n">
        <f aca="false">SUMIF(Flujo!$A$5:$A$22,"Equipo 1",Flujo!$K$5:$K$22)</f>
        <v>0</v>
      </c>
      <c r="I5" s="51" t="n">
        <f aca="false">SUMIF(Revisiones!$A$5:$A$10,"Equipo 1",Revisiones!$H$5:$H$10)</f>
        <v>0</v>
      </c>
      <c r="J5" s="25" t="str">
        <f aca="false">IF(COUNTIFS(Flujo!$A$5:$A$22,"Equipo 1",Flujo!$M$5:$M$22,"?*")=0,"",COUNTIFS(Flujo!$A$5:$A$22,"Equipo 1",Flujo!$M$5:$M$22,"Sí")/COUNTIFS(Flujo!$A$5:$A$22,"Equipo 1",Flujo!$M$5:$M$22,"?*"))</f>
        <v/>
      </c>
      <c r="K5" s="24" t="n">
        <f aca="false">SUMIF(Desperdicios!$C$5:$C$44,"Equipo 1",Desperdicios!$F$5:$F$44)</f>
        <v>0</v>
      </c>
      <c r="L5" s="51" t="n">
        <f aca="false">SUMIF(Revisiones!$A$5:$A$10,"Equipo 1",Revisiones!$G$5:$G$10)</f>
        <v>0</v>
      </c>
    </row>
    <row r="6" customFormat="false" ht="15" hidden="false" customHeight="false" outlineLevel="0" collapsed="false">
      <c r="A6" s="11" t="s">
        <v>32</v>
      </c>
      <c r="B6" s="12" t="s">
        <v>33</v>
      </c>
      <c r="C6" s="51" t="n">
        <f aca="false">COUNTIFS(Flujo!$A$5:$A$22,"Equipo 2",Flujo!$H$5:$H$22,"&gt;=0")</f>
        <v>0</v>
      </c>
      <c r="D6" s="24" t="n">
        <f aca="false">SUMIF(Flujo!$A$5:$A$22,"Equipo 2",Flujo!$H$5:$H$22)</f>
        <v>0</v>
      </c>
      <c r="E6" s="24" t="str">
        <f aca="false">IF(C6&gt;0,D6/C6,"")</f>
        <v/>
      </c>
      <c r="F6" s="24" t="n">
        <f aca="false">SUMIF(Flujo!$A$5:$A$22,"Equipo 2",Flujo!$I$5:$I$22)</f>
        <v>0</v>
      </c>
      <c r="G6" s="25" t="str">
        <f aca="false">IF(D6&gt;0,(D6-F6)/D6,"")</f>
        <v/>
      </c>
      <c r="H6" s="51" t="n">
        <f aca="false">SUMIF(Flujo!$A$5:$A$22,"Equipo 2",Flujo!$K$5:$K$22)</f>
        <v>0</v>
      </c>
      <c r="I6" s="51" t="n">
        <f aca="false">SUMIF(Revisiones!$A$5:$A$10,"Equipo 2",Revisiones!$H$5:$H$10)</f>
        <v>0</v>
      </c>
      <c r="J6" s="25" t="str">
        <f aca="false">IF(COUNTIFS(Flujo!$A$5:$A$22,"Equipo 2",Flujo!$M$5:$M$22,"?*")=0,"",COUNTIFS(Flujo!$A$5:$A$22,"Equipo 2",Flujo!$M$5:$M$22,"Sí")/COUNTIFS(Flujo!$A$5:$A$22,"Equipo 2",Flujo!$M$5:$M$22,"?*"))</f>
        <v/>
      </c>
      <c r="K6" s="24" t="n">
        <f aca="false">SUMIF(Desperdicios!$C$5:$C$44,"Equipo 2",Desperdicios!$F$5:$F$44)</f>
        <v>0</v>
      </c>
      <c r="L6" s="51" t="n">
        <f aca="false">SUMIF(Revisiones!$A$5:$A$10,"Equipo 2",Revisiones!$G$5:$G$10)</f>
        <v>0</v>
      </c>
    </row>
    <row r="7" customFormat="false" ht="15" hidden="false" customHeight="false" outlineLevel="0" collapsed="false">
      <c r="A7" s="11" t="s">
        <v>35</v>
      </c>
      <c r="B7" s="12" t="s">
        <v>36</v>
      </c>
      <c r="C7" s="51" t="n">
        <f aca="false">COUNTIFS(Flujo!$A$5:$A$22,"Equipo 3",Flujo!$H$5:$H$22,"&gt;=0")</f>
        <v>0</v>
      </c>
      <c r="D7" s="24" t="n">
        <f aca="false">SUMIF(Flujo!$A$5:$A$22,"Equipo 3",Flujo!$H$5:$H$22)</f>
        <v>0</v>
      </c>
      <c r="E7" s="24" t="str">
        <f aca="false">IF(C7&gt;0,D7/C7,"")</f>
        <v/>
      </c>
      <c r="F7" s="24" t="n">
        <f aca="false">SUMIF(Flujo!$A$5:$A$22,"Equipo 3",Flujo!$I$5:$I$22)</f>
        <v>0</v>
      </c>
      <c r="G7" s="25" t="str">
        <f aca="false">IF(D7&gt;0,(D7-F7)/D7,"")</f>
        <v/>
      </c>
      <c r="H7" s="51" t="n">
        <f aca="false">SUMIF(Flujo!$A$5:$A$22,"Equipo 3",Flujo!$K$5:$K$22)</f>
        <v>0</v>
      </c>
      <c r="I7" s="51" t="n">
        <f aca="false">SUMIF(Revisiones!$A$5:$A$10,"Equipo 3",Revisiones!$H$5:$H$10)</f>
        <v>0</v>
      </c>
      <c r="J7" s="25" t="str">
        <f aca="false">IF(COUNTIFS(Flujo!$A$5:$A$22,"Equipo 3",Flujo!$M$5:$M$22,"?*")=0,"",COUNTIFS(Flujo!$A$5:$A$22,"Equipo 3",Flujo!$M$5:$M$22,"Sí")/COUNTIFS(Flujo!$A$5:$A$22,"Equipo 3",Flujo!$M$5:$M$22,"?*"))</f>
        <v/>
      </c>
      <c r="K7" s="24" t="n">
        <f aca="false">SUMIF(Desperdicios!$C$5:$C$44,"Equipo 3",Desperdicios!$F$5:$F$44)</f>
        <v>0</v>
      </c>
      <c r="L7" s="51" t="n">
        <f aca="false">SUMIF(Revisiones!$A$5:$A$10,"Equipo 3",Revisiones!$G$5:$G$10)</f>
        <v>0</v>
      </c>
    </row>
    <row r="8" customFormat="false" ht="15" hidden="false" customHeight="false" outlineLevel="0" collapsed="false">
      <c r="A8" s="11" t="s">
        <v>38</v>
      </c>
      <c r="B8" s="12" t="s">
        <v>39</v>
      </c>
      <c r="C8" s="51" t="n">
        <f aca="false">COUNTIFS(Flujo!$A$5:$A$22,"Equipo 4",Flujo!$H$5:$H$22,"&gt;=0")</f>
        <v>0</v>
      </c>
      <c r="D8" s="24" t="n">
        <f aca="false">SUMIF(Flujo!$A$5:$A$22,"Equipo 4",Flujo!$H$5:$H$22)</f>
        <v>0</v>
      </c>
      <c r="E8" s="24" t="str">
        <f aca="false">IF(C8&gt;0,D8/C8,"")</f>
        <v/>
      </c>
      <c r="F8" s="24" t="n">
        <f aca="false">SUMIF(Flujo!$A$5:$A$22,"Equipo 4",Flujo!$I$5:$I$22)</f>
        <v>0</v>
      </c>
      <c r="G8" s="25" t="str">
        <f aca="false">IF(D8&gt;0,(D8-F8)/D8,"")</f>
        <v/>
      </c>
      <c r="H8" s="51" t="n">
        <f aca="false">SUMIF(Flujo!$A$5:$A$22,"Equipo 4",Flujo!$K$5:$K$22)</f>
        <v>0</v>
      </c>
      <c r="I8" s="51" t="n">
        <f aca="false">SUMIF(Revisiones!$A$5:$A$10,"Equipo 4",Revisiones!$H$5:$H$10)</f>
        <v>0</v>
      </c>
      <c r="J8" s="25" t="str">
        <f aca="false">IF(COUNTIFS(Flujo!$A$5:$A$22,"Equipo 4",Flujo!$M$5:$M$22,"?*")=0,"",COUNTIFS(Flujo!$A$5:$A$22,"Equipo 4",Flujo!$M$5:$M$22,"Sí")/COUNTIFS(Flujo!$A$5:$A$22,"Equipo 4",Flujo!$M$5:$M$22,"?*"))</f>
        <v/>
      </c>
      <c r="K8" s="24" t="n">
        <f aca="false">SUMIF(Desperdicios!$C$5:$C$44,"Equipo 4",Desperdicios!$F$5:$F$44)</f>
        <v>0</v>
      </c>
      <c r="L8" s="51" t="n">
        <f aca="false">SUMIF(Revisiones!$A$5:$A$10,"Equipo 4",Revisiones!$G$5:$G$10)</f>
        <v>0</v>
      </c>
    </row>
    <row r="9" customFormat="false" ht="15" hidden="false" customHeight="false" outlineLevel="0" collapsed="false">
      <c r="A9" s="11" t="s">
        <v>41</v>
      </c>
      <c r="B9" s="12" t="s">
        <v>42</v>
      </c>
      <c r="C9" s="51" t="n">
        <f aca="false">COUNTIFS(Flujo!$A$5:$A$22,"Equipo 5",Flujo!$H$5:$H$22,"&gt;=0")</f>
        <v>0</v>
      </c>
      <c r="D9" s="24" t="n">
        <f aca="false">SUMIF(Flujo!$A$5:$A$22,"Equipo 5",Flujo!$H$5:$H$22)</f>
        <v>0</v>
      </c>
      <c r="E9" s="24" t="str">
        <f aca="false">IF(C9&gt;0,D9/C9,"")</f>
        <v/>
      </c>
      <c r="F9" s="24" t="n">
        <f aca="false">SUMIF(Flujo!$A$5:$A$22,"Equipo 5",Flujo!$I$5:$I$22)</f>
        <v>0</v>
      </c>
      <c r="G9" s="25" t="str">
        <f aca="false">IF(D9&gt;0,(D9-F9)/D9,"")</f>
        <v/>
      </c>
      <c r="H9" s="51" t="n">
        <f aca="false">SUMIF(Flujo!$A$5:$A$22,"Equipo 5",Flujo!$K$5:$K$22)</f>
        <v>0</v>
      </c>
      <c r="I9" s="51" t="n">
        <f aca="false">SUMIF(Revisiones!$A$5:$A$10,"Equipo 5",Revisiones!$H$5:$H$10)</f>
        <v>0</v>
      </c>
      <c r="J9" s="25" t="str">
        <f aca="false">IF(COUNTIFS(Flujo!$A$5:$A$22,"Equipo 5",Flujo!$M$5:$M$22,"?*")=0,"",COUNTIFS(Flujo!$A$5:$A$22,"Equipo 5",Flujo!$M$5:$M$22,"Sí")/COUNTIFS(Flujo!$A$5:$A$22,"Equipo 5",Flujo!$M$5:$M$22,"?*"))</f>
        <v/>
      </c>
      <c r="K9" s="24" t="n">
        <f aca="false">SUMIF(Desperdicios!$C$5:$C$44,"Equipo 5",Desperdicios!$F$5:$F$44)</f>
        <v>0</v>
      </c>
      <c r="L9" s="51" t="n">
        <f aca="false">SUMIF(Revisiones!$A$5:$A$10,"Equipo 5",Revisiones!$G$5:$G$10)</f>
        <v>0</v>
      </c>
    </row>
    <row r="10" customFormat="false" ht="15" hidden="false" customHeight="false" outlineLevel="0" collapsed="false">
      <c r="A10" s="11" t="s">
        <v>44</v>
      </c>
      <c r="B10" s="12" t="s">
        <v>45</v>
      </c>
      <c r="C10" s="51" t="n">
        <f aca="false">COUNTIFS(Flujo!$A$5:$A$22,"Equipo 6",Flujo!$H$5:$H$22,"&gt;=0")</f>
        <v>0</v>
      </c>
      <c r="D10" s="24" t="n">
        <f aca="false">SUMIF(Flujo!$A$5:$A$22,"Equipo 6",Flujo!$H$5:$H$22)</f>
        <v>0</v>
      </c>
      <c r="E10" s="24" t="str">
        <f aca="false">IF(C10&gt;0,D10/C10,"")</f>
        <v/>
      </c>
      <c r="F10" s="24" t="n">
        <f aca="false">SUMIF(Flujo!$A$5:$A$22,"Equipo 6",Flujo!$I$5:$I$22)</f>
        <v>0</v>
      </c>
      <c r="G10" s="25" t="str">
        <f aca="false">IF(D10&gt;0,(D10-F10)/D10,"")</f>
        <v/>
      </c>
      <c r="H10" s="51" t="n">
        <f aca="false">SUMIF(Flujo!$A$5:$A$22,"Equipo 6",Flujo!$K$5:$K$22)</f>
        <v>0</v>
      </c>
      <c r="I10" s="51" t="n">
        <f aca="false">SUMIF(Revisiones!$A$5:$A$10,"Equipo 6",Revisiones!$H$5:$H$10)</f>
        <v>0</v>
      </c>
      <c r="J10" s="25" t="str">
        <f aca="false">IF(COUNTIFS(Flujo!$A$5:$A$22,"Equipo 6",Flujo!$M$5:$M$22,"?*")=0,"",COUNTIFS(Flujo!$A$5:$A$22,"Equipo 6",Flujo!$M$5:$M$22,"Sí")/COUNTIFS(Flujo!$A$5:$A$22,"Equipo 6",Flujo!$M$5:$M$22,"?*"))</f>
        <v/>
      </c>
      <c r="K10" s="24" t="n">
        <f aca="false">SUMIF(Desperdicios!$C$5:$C$44,"Equipo 6",Desperdicios!$F$5:$F$44)</f>
        <v>0</v>
      </c>
      <c r="L10" s="51" t="n">
        <f aca="false">SUMIF(Revisiones!$A$5:$A$10,"Equipo 6",Revisiones!$G$5:$G$10)</f>
        <v>0</v>
      </c>
    </row>
    <row r="11" customFormat="false" ht="15" hidden="false" customHeight="false" outlineLevel="0" collapsed="false">
      <c r="A11" s="19" t="s">
        <v>130</v>
      </c>
      <c r="B11" s="54"/>
      <c r="C11" s="55" t="n">
        <f aca="false">SUM(C5:C10)</f>
        <v>0</v>
      </c>
      <c r="D11" s="56" t="n">
        <f aca="false">SUM(D5:D10)</f>
        <v>0</v>
      </c>
      <c r="E11" s="56" t="str">
        <f aca="false">IF(C11&gt;0,D11/C11,"")</f>
        <v/>
      </c>
      <c r="F11" s="56" t="n">
        <f aca="false">SUM(F5:F10)</f>
        <v>0</v>
      </c>
      <c r="G11" s="57" t="str">
        <f aca="false">IF(D11&gt;0,(D11-F11)/D11,"")</f>
        <v/>
      </c>
      <c r="H11" s="55" t="n">
        <f aca="false">SUM(H5:H10)</f>
        <v>0</v>
      </c>
      <c r="I11" s="55" t="n">
        <f aca="false">SUM(I5:I10)</f>
        <v>0</v>
      </c>
      <c r="J11" s="57" t="str">
        <f aca="false">IF(COUNTIF(Flujo!$M$5:$M$22,"?*")=0,"",COUNTIF(Flujo!$M$5:$M$22,"Sí")/COUNTIF(Flujo!$M$5:$M$22,"?*"))</f>
        <v/>
      </c>
      <c r="K11" s="56" t="n">
        <f aca="false">SUM(K5:K10)</f>
        <v>0</v>
      </c>
      <c r="L11" s="55" t="str">
        <f aca="false">IF(COUNT(Revisiones!$G$5:$G$10)=0,"",AVERAGE(Revisiones!$G$5:$G$10))</f>
        <v/>
      </c>
    </row>
    <row r="13" customFormat="false" ht="16.15" hidden="false" customHeight="false" outlineLevel="0" collapsed="false">
      <c r="A13" s="4" t="s">
        <v>131</v>
      </c>
    </row>
    <row r="14" customFormat="false" ht="39.75" hidden="false" customHeight="true" outlineLevel="0" collapsed="false">
      <c r="A14" s="10" t="s">
        <v>132</v>
      </c>
      <c r="B14" s="58"/>
      <c r="C14" s="10" t="s">
        <v>121</v>
      </c>
      <c r="D14" s="10" t="s">
        <v>122</v>
      </c>
      <c r="E14" s="10" t="s">
        <v>123</v>
      </c>
      <c r="F14" s="10" t="s">
        <v>63</v>
      </c>
      <c r="G14" s="10" t="s">
        <v>124</v>
      </c>
      <c r="H14" s="10" t="s">
        <v>133</v>
      </c>
      <c r="I14" s="10" t="s">
        <v>134</v>
      </c>
      <c r="J14" s="10" t="s">
        <v>128</v>
      </c>
    </row>
    <row r="15" customFormat="false" ht="15" hidden="false" customHeight="false" outlineLevel="0" collapsed="false">
      <c r="A15" s="59" t="n">
        <v>1</v>
      </c>
      <c r="C15" s="55" t="n">
        <f aca="false">COUNTIFS(Flujo!$D$5:$D$22,$A15,Flujo!$H$5:$H$22,"&gt;=0")</f>
        <v>0</v>
      </c>
      <c r="D15" s="56" t="n">
        <f aca="false">SUMIF(Flujo!$D$5:$D$22,$A15,Flujo!$H$5:$H$22)</f>
        <v>0</v>
      </c>
      <c r="E15" s="56" t="str">
        <f aca="false">IF(C15&gt;0,D15/C15,"")</f>
        <v/>
      </c>
      <c r="F15" s="56" t="n">
        <f aca="false">SUMIF(Flujo!$D$5:$D$22,$A15,Flujo!$I$5:$I$22)</f>
        <v>0</v>
      </c>
      <c r="G15" s="57" t="str">
        <f aca="false">IF(D15&gt;0,(D15-F15)/D15,"")</f>
        <v/>
      </c>
      <c r="H15" s="60" t="str">
        <f aca="false">IF(C15&gt;0,SUMIF(Flujo!$D$5:$D$22,$A15,Flujo!$K$5:$K$22)/C15,"")</f>
        <v/>
      </c>
      <c r="I15" s="57" t="str">
        <f aca="false">IF(COUNTIFS(Flujo!$D$5:$D$22,$A15,Flujo!$M$5:$M$22,"?*")=0,"",COUNTIFS(Flujo!$D$5:$D$22,$A15,Flujo!$M$5:$M$22,"Sí")/COUNTIFS(Flujo!$D$5:$D$22,$A15,Flujo!$M$5:$M$22,"?*"))</f>
        <v/>
      </c>
      <c r="J15" s="56" t="n">
        <f aca="false">SUMIF(Desperdicios!$B$5:$B$44,$A15,Desperdicios!$F$5:$F$44)</f>
        <v>0</v>
      </c>
    </row>
    <row r="16" customFormat="false" ht="15" hidden="false" customHeight="false" outlineLevel="0" collapsed="false">
      <c r="A16" s="59" t="n">
        <v>2</v>
      </c>
      <c r="C16" s="55" t="n">
        <f aca="false">COUNTIFS(Flujo!$D$5:$D$22,$A16,Flujo!$H$5:$H$22,"&gt;=0")</f>
        <v>0</v>
      </c>
      <c r="D16" s="56" t="n">
        <f aca="false">SUMIF(Flujo!$D$5:$D$22,$A16,Flujo!$H$5:$H$22)</f>
        <v>0</v>
      </c>
      <c r="E16" s="56" t="str">
        <f aca="false">IF(C16&gt;0,D16/C16,"")</f>
        <v/>
      </c>
      <c r="F16" s="56" t="n">
        <f aca="false">SUMIF(Flujo!$D$5:$D$22,$A16,Flujo!$I$5:$I$22)</f>
        <v>0</v>
      </c>
      <c r="G16" s="57" t="str">
        <f aca="false">IF(D16&gt;0,(D16-F16)/D16,"")</f>
        <v/>
      </c>
      <c r="H16" s="60" t="str">
        <f aca="false">IF(C16&gt;0,SUMIF(Flujo!$D$5:$D$22,$A16,Flujo!$K$5:$K$22)/C16,"")</f>
        <v/>
      </c>
      <c r="I16" s="57" t="str">
        <f aca="false">IF(COUNTIFS(Flujo!$D$5:$D$22,$A16,Flujo!$M$5:$M$22,"?*")=0,"",COUNTIFS(Flujo!$D$5:$D$22,$A16,Flujo!$M$5:$M$22,"Sí")/COUNTIFS(Flujo!$D$5:$D$22,$A16,Flujo!$M$5:$M$22,"?*"))</f>
        <v/>
      </c>
      <c r="J16" s="56" t="n">
        <f aca="false">SUMIF(Desperdicios!$B$5:$B$44,$A16,Desperdicios!$F$5:$F$44)</f>
        <v>0</v>
      </c>
    </row>
    <row r="17" customFormat="false" ht="15" hidden="false" customHeight="false" outlineLevel="0" collapsed="false">
      <c r="A17" s="59" t="n">
        <v>3</v>
      </c>
      <c r="C17" s="55" t="n">
        <f aca="false">COUNTIFS(Flujo!$D$5:$D$22,$A17,Flujo!$H$5:$H$22,"&gt;=0")</f>
        <v>0</v>
      </c>
      <c r="D17" s="56" t="n">
        <f aca="false">SUMIF(Flujo!$D$5:$D$22,$A17,Flujo!$H$5:$H$22)</f>
        <v>0</v>
      </c>
      <c r="E17" s="56" t="str">
        <f aca="false">IF(C17&gt;0,D17/C17,"")</f>
        <v/>
      </c>
      <c r="F17" s="56" t="n">
        <f aca="false">SUMIF(Flujo!$D$5:$D$22,$A17,Flujo!$I$5:$I$22)</f>
        <v>0</v>
      </c>
      <c r="G17" s="57" t="str">
        <f aca="false">IF(D17&gt;0,(D17-F17)/D17,"")</f>
        <v/>
      </c>
      <c r="H17" s="60" t="str">
        <f aca="false">IF(C17&gt;0,SUMIF(Flujo!$D$5:$D$22,$A17,Flujo!$K$5:$K$22)/C17,"")</f>
        <v/>
      </c>
      <c r="I17" s="57" t="str">
        <f aca="false">IF(COUNTIFS(Flujo!$D$5:$D$22,$A17,Flujo!$M$5:$M$22,"?*")=0,"",COUNTIFS(Flujo!$D$5:$D$22,$A17,Flujo!$M$5:$M$22,"Sí")/COUNTIFS(Flujo!$D$5:$D$22,$A17,Flujo!$M$5:$M$22,"?*"))</f>
        <v/>
      </c>
      <c r="J17" s="56" t="n">
        <f aca="false">SUMIF(Desperdicios!$B$5:$B$44,$A17,Desperdicios!$F$5:$F$44)</f>
        <v>0</v>
      </c>
    </row>
    <row r="18" customFormat="false" ht="15" hidden="false" customHeight="false" outlineLevel="0" collapsed="false">
      <c r="A18" s="9" t="s">
        <v>135</v>
      </c>
    </row>
    <row r="20" customFormat="false" ht="16.15" hidden="false" customHeight="false" outlineLevel="0" collapsed="false">
      <c r="A20" s="4" t="s">
        <v>136</v>
      </c>
    </row>
    <row r="21" customFormat="false" ht="24" hidden="false" customHeight="true" outlineLevel="0" collapsed="false">
      <c r="A21" s="10" t="s">
        <v>137</v>
      </c>
      <c r="B21" s="10"/>
      <c r="C21" s="10"/>
      <c r="D21" s="10" t="s">
        <v>138</v>
      </c>
      <c r="E21" s="10" t="s">
        <v>139</v>
      </c>
    </row>
    <row r="22" customFormat="false" ht="15" hidden="false" customHeight="false" outlineLevel="0" collapsed="false">
      <c r="A22" s="61" t="s">
        <v>6</v>
      </c>
      <c r="B22" s="61"/>
      <c r="C22" s="61"/>
      <c r="D22" s="24" t="n">
        <f aca="false">SUMIF(Desperdicios!$D$5:$D$44,$A22,Desperdicios!$F$5:$F$44)</f>
        <v>0</v>
      </c>
      <c r="E22" s="51" t="n">
        <f aca="false">COUNTIF(Desperdicios!$D$5:$D$44,$A22)</f>
        <v>0</v>
      </c>
    </row>
    <row r="23" customFormat="false" ht="15" hidden="false" customHeight="false" outlineLevel="0" collapsed="false">
      <c r="A23" s="61" t="s">
        <v>12</v>
      </c>
      <c r="B23" s="61"/>
      <c r="C23" s="61"/>
      <c r="D23" s="24" t="n">
        <f aca="false">SUMIF(Desperdicios!$D$5:$D$44,$A23,Desperdicios!$F$5:$F$44)</f>
        <v>0</v>
      </c>
      <c r="E23" s="51" t="n">
        <f aca="false">COUNTIF(Desperdicios!$D$5:$D$44,$A23)</f>
        <v>0</v>
      </c>
    </row>
    <row r="24" customFormat="false" ht="15" hidden="false" customHeight="false" outlineLevel="0" collapsed="false">
      <c r="A24" s="61" t="s">
        <v>18</v>
      </c>
      <c r="B24" s="61"/>
      <c r="C24" s="61"/>
      <c r="D24" s="24" t="n">
        <f aca="false">SUMIF(Desperdicios!$D$5:$D$44,$A24,Desperdicios!$F$5:$F$44)</f>
        <v>0</v>
      </c>
      <c r="E24" s="51" t="n">
        <f aca="false">COUNTIF(Desperdicios!$D$5:$D$44,$A24)</f>
        <v>0</v>
      </c>
    </row>
    <row r="25" customFormat="false" ht="15" hidden="false" customHeight="false" outlineLevel="0" collapsed="false">
      <c r="A25" s="61" t="s">
        <v>21</v>
      </c>
      <c r="B25" s="61"/>
      <c r="C25" s="61"/>
      <c r="D25" s="24" t="n">
        <f aca="false">SUMIF(Desperdicios!$D$5:$D$44,$A25,Desperdicios!$F$5:$F$44)</f>
        <v>0</v>
      </c>
      <c r="E25" s="51" t="n">
        <f aca="false">COUNTIF(Desperdicios!$D$5:$D$44,$A25)</f>
        <v>0</v>
      </c>
    </row>
    <row r="26" customFormat="false" ht="15" hidden="false" customHeight="false" outlineLevel="0" collapsed="false">
      <c r="A26" s="61" t="s">
        <v>31</v>
      </c>
      <c r="B26" s="61"/>
      <c r="C26" s="61"/>
      <c r="D26" s="24" t="n">
        <f aca="false">SUMIF(Desperdicios!$D$5:$D$44,$A26,Desperdicios!$F$5:$F$44)</f>
        <v>0</v>
      </c>
      <c r="E26" s="51" t="n">
        <f aca="false">COUNTIF(Desperdicios!$D$5:$D$44,$A26)</f>
        <v>0</v>
      </c>
    </row>
    <row r="27" customFormat="false" ht="15" hidden="false" customHeight="false" outlineLevel="0" collapsed="false">
      <c r="A27" s="61" t="s">
        <v>37</v>
      </c>
      <c r="B27" s="61"/>
      <c r="C27" s="61"/>
      <c r="D27" s="24" t="n">
        <f aca="false">SUMIF(Desperdicios!$D$5:$D$44,$A27,Desperdicios!$F$5:$F$44)</f>
        <v>0</v>
      </c>
      <c r="E27" s="51" t="n">
        <f aca="false">COUNTIF(Desperdicios!$D$5:$D$44,$A27)</f>
        <v>0</v>
      </c>
    </row>
    <row r="28" customFormat="false" ht="15" hidden="false" customHeight="false" outlineLevel="0" collapsed="false">
      <c r="A28" s="61" t="s">
        <v>43</v>
      </c>
      <c r="B28" s="61"/>
      <c r="C28" s="61"/>
      <c r="D28" s="24" t="n">
        <f aca="false">SUMIF(Desperdicios!$D$5:$D$44,$A28,Desperdicios!$F$5:$F$44)</f>
        <v>0</v>
      </c>
      <c r="E28" s="51" t="n">
        <f aca="false">COUNTIF(Desperdicios!$D$5:$D$44,$A28)</f>
        <v>0</v>
      </c>
    </row>
  </sheetData>
  <mergeCells count="8">
    <mergeCell ref="A21:C21"/>
    <mergeCell ref="A22:C22"/>
    <mergeCell ref="A23:C23"/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2026-10-29T00:42:27Z</dcterms:created>
  <dc:creator>openpyxl</dc:creator>
  <dc:description/>
  <dc:language>en-US</dc:language>
  <cp:lastModifiedBy/>
  <dcterms:modified xsi:type="dcterms:W3CDTF">2026-10-28T18:42:28Z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